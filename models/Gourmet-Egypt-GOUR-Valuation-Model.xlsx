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med Wael\Desktop\"/>
    </mc:Choice>
  </mc:AlternateContent>
  <xr:revisionPtr revIDLastSave="0" documentId="13_ncr:1_{DBC04101-24BD-4361-AE5C-F94309F1C380}" xr6:coauthVersionLast="47" xr6:coauthVersionMax="47" xr10:uidLastSave="{00000000-0000-0000-0000-000000000000}"/>
  <bookViews>
    <workbookView xWindow="-120" yWindow="-120" windowWidth="29040" windowHeight="15840" tabRatio="646" xr2:uid="{00000000-000D-0000-FFFF-FFFF00000000}"/>
  </bookViews>
  <sheets>
    <sheet name="FSM" sheetId="1" r:id="rId1"/>
    <sheet name="DCF" sheetId="2" r:id="rId2"/>
    <sheet name="WACC" sheetId="3" r:id="rId3"/>
    <sheet name="Trading Comps" sheetId="5" r:id="rId4"/>
  </sheets>
  <definedNames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2" i="1" l="1"/>
  <c r="D292" i="1"/>
  <c r="F292" i="1"/>
  <c r="G292" i="1" s="1"/>
  <c r="F278" i="1"/>
  <c r="G278" i="1" s="1"/>
  <c r="H278" i="1" s="1"/>
  <c r="I278" i="1" s="1"/>
  <c r="J278" i="1" s="1"/>
  <c r="K278" i="1" s="1"/>
  <c r="E278" i="1"/>
  <c r="D278" i="1"/>
  <c r="C56" i="2"/>
  <c r="D64" i="3"/>
  <c r="E64" i="3"/>
  <c r="F64" i="3"/>
  <c r="G64" i="3" s="1"/>
  <c r="H64" i="3" s="1"/>
  <c r="G106" i="1"/>
  <c r="C46" i="3"/>
  <c r="K149" i="1"/>
  <c r="J149" i="1"/>
  <c r="I149" i="1"/>
  <c r="G149" i="1"/>
  <c r="H149" i="1"/>
  <c r="F230" i="1"/>
  <c r="G230" i="1" s="1"/>
  <c r="H99" i="1"/>
  <c r="I99" i="1" s="1"/>
  <c r="J99" i="1" s="1"/>
  <c r="K99" i="1" s="1"/>
  <c r="E107" i="1"/>
  <c r="D107" i="1"/>
  <c r="E100" i="1"/>
  <c r="D100" i="1"/>
  <c r="F206" i="1"/>
  <c r="F107" i="1"/>
  <c r="F100" i="1"/>
  <c r="H41" i="1"/>
  <c r="I41" i="1" s="1"/>
  <c r="J41" i="1" s="1"/>
  <c r="K41" i="1" s="1"/>
  <c r="D14" i="2"/>
  <c r="G72" i="2" a="1"/>
  <c r="C70" i="3"/>
  <c r="C65" i="3"/>
  <c r="D65" i="3" s="1"/>
  <c r="E65" i="3" s="1"/>
  <c r="F65" i="3" s="1"/>
  <c r="G65" i="3" s="1"/>
  <c r="H65" i="3" s="1"/>
  <c r="C64" i="3"/>
  <c r="C56" i="3"/>
  <c r="F18" i="1"/>
  <c r="F39" i="1" s="1"/>
  <c r="D200" i="1"/>
  <c r="E200" i="1"/>
  <c r="F200" i="1"/>
  <c r="D201" i="1"/>
  <c r="E201" i="1"/>
  <c r="F201" i="1"/>
  <c r="D207" i="1"/>
  <c r="E207" i="1"/>
  <c r="F207" i="1"/>
  <c r="D206" i="1"/>
  <c r="E206" i="1"/>
  <c r="G30" i="5"/>
  <c r="G15" i="5"/>
  <c r="G17" i="5" s="1"/>
  <c r="G26" i="5" s="1"/>
  <c r="F23" i="5"/>
  <c r="E23" i="5"/>
  <c r="D23" i="5"/>
  <c r="C23" i="5"/>
  <c r="F17" i="5"/>
  <c r="F26" i="5" s="1"/>
  <c r="E17" i="5"/>
  <c r="E26" i="5" s="1"/>
  <c r="D17" i="5"/>
  <c r="D26" i="5" s="1"/>
  <c r="C17" i="5"/>
  <c r="C26" i="5" s="1"/>
  <c r="F44" i="3"/>
  <c r="F43" i="3"/>
  <c r="I43" i="3" s="1"/>
  <c r="F42" i="3"/>
  <c r="I42" i="3" s="1"/>
  <c r="F41" i="3"/>
  <c r="I41" i="3" s="1"/>
  <c r="F40" i="3"/>
  <c r="I40" i="3" s="1"/>
  <c r="C8" i="3"/>
  <c r="I60" i="2"/>
  <c r="C63" i="2"/>
  <c r="C61" i="2"/>
  <c r="C59" i="2"/>
  <c r="G21" i="5" s="1"/>
  <c r="E22" i="2"/>
  <c r="K142" i="1"/>
  <c r="J142" i="1"/>
  <c r="I142" i="1"/>
  <c r="H142" i="1"/>
  <c r="G142" i="1"/>
  <c r="G153" i="1"/>
  <c r="H261" i="1"/>
  <c r="F257" i="1"/>
  <c r="E257" i="1"/>
  <c r="D257" i="1"/>
  <c r="F259" i="1"/>
  <c r="G256" i="1" s="1"/>
  <c r="E259" i="1"/>
  <c r="F256" i="1" s="1"/>
  <c r="D259" i="1"/>
  <c r="E256" i="1" s="1"/>
  <c r="F253" i="1"/>
  <c r="G250" i="1" s="1"/>
  <c r="E253" i="1"/>
  <c r="F250" i="1" s="1"/>
  <c r="D253" i="1"/>
  <c r="E250" i="1" s="1"/>
  <c r="F172" i="1"/>
  <c r="F174" i="1" s="1"/>
  <c r="E172" i="1"/>
  <c r="E174" i="1" s="1"/>
  <c r="D172" i="1"/>
  <c r="D174" i="1" s="1"/>
  <c r="G69" i="1"/>
  <c r="H69" i="1" s="1"/>
  <c r="K22" i="1"/>
  <c r="J22" i="1"/>
  <c r="I22" i="1"/>
  <c r="H22" i="1"/>
  <c r="G22" i="1"/>
  <c r="F305" i="1"/>
  <c r="G305" i="1" s="1"/>
  <c r="H305" i="1" s="1"/>
  <c r="E305" i="1"/>
  <c r="F304" i="1"/>
  <c r="G304" i="1" s="1"/>
  <c r="E304" i="1"/>
  <c r="D305" i="1"/>
  <c r="D304" i="1"/>
  <c r="F291" i="1"/>
  <c r="G291" i="1" s="1"/>
  <c r="E291" i="1"/>
  <c r="D291" i="1"/>
  <c r="F293" i="1"/>
  <c r="G293" i="1" s="1"/>
  <c r="E293" i="1"/>
  <c r="D293" i="1"/>
  <c r="F302" i="1"/>
  <c r="G299" i="1" s="1"/>
  <c r="E302" i="1"/>
  <c r="F299" i="1" s="1"/>
  <c r="D302" i="1"/>
  <c r="E299" i="1" s="1"/>
  <c r="G83" i="1"/>
  <c r="H83" i="1" s="1"/>
  <c r="I83" i="1" s="1"/>
  <c r="J83" i="1" s="1"/>
  <c r="K83" i="1" s="1"/>
  <c r="F289" i="1"/>
  <c r="G285" i="1" s="1"/>
  <c r="E289" i="1"/>
  <c r="F285" i="1" s="1"/>
  <c r="D289" i="1"/>
  <c r="E285" i="1" s="1"/>
  <c r="F279" i="1"/>
  <c r="G279" i="1" s="1"/>
  <c r="E279" i="1"/>
  <c r="D279" i="1"/>
  <c r="F277" i="1"/>
  <c r="G277" i="1" s="1"/>
  <c r="E277" i="1"/>
  <c r="D277" i="1"/>
  <c r="F276" i="1"/>
  <c r="G276" i="1" s="1"/>
  <c r="E276" i="1"/>
  <c r="D276" i="1"/>
  <c r="F274" i="1"/>
  <c r="G274" i="1" s="1"/>
  <c r="H274" i="1" s="1"/>
  <c r="I274" i="1" s="1"/>
  <c r="J274" i="1" s="1"/>
  <c r="K274" i="1" s="1"/>
  <c r="E274" i="1"/>
  <c r="D274" i="1"/>
  <c r="F273" i="1"/>
  <c r="G268" i="1" s="1"/>
  <c r="E273" i="1"/>
  <c r="F268" i="1" s="1"/>
  <c r="D273" i="1"/>
  <c r="E268" i="1" s="1"/>
  <c r="G81" i="1"/>
  <c r="H81" i="1" s="1"/>
  <c r="I81" i="1" s="1"/>
  <c r="J81" i="1" s="1"/>
  <c r="K81" i="1" s="1"/>
  <c r="G91" i="1"/>
  <c r="H234" i="1"/>
  <c r="F242" i="1"/>
  <c r="E242" i="1"/>
  <c r="F241" i="1"/>
  <c r="E241" i="1"/>
  <c r="D242" i="1"/>
  <c r="D241" i="1"/>
  <c r="D243" i="1" s="1"/>
  <c r="F232" i="1"/>
  <c r="G229" i="1" s="1"/>
  <c r="G93" i="1" s="1"/>
  <c r="E232" i="1"/>
  <c r="F229" i="1" s="1"/>
  <c r="D232" i="1"/>
  <c r="E229" i="1" s="1"/>
  <c r="F237" i="1"/>
  <c r="G242" i="1" s="1"/>
  <c r="D237" i="1"/>
  <c r="E237" i="1"/>
  <c r="D168" i="1"/>
  <c r="F167" i="1"/>
  <c r="E167" i="1"/>
  <c r="D167" i="1"/>
  <c r="F165" i="1"/>
  <c r="G162" i="1" s="1"/>
  <c r="E165" i="1"/>
  <c r="F162" i="1" s="1"/>
  <c r="F168" i="1" s="1"/>
  <c r="G168" i="1" s="1"/>
  <c r="D165" i="1"/>
  <c r="E162" i="1" s="1"/>
  <c r="E168" i="1" s="1"/>
  <c r="F205" i="1"/>
  <c r="E205" i="1"/>
  <c r="F199" i="1"/>
  <c r="F221" i="1" s="1"/>
  <c r="G221" i="1" s="1"/>
  <c r="E199" i="1"/>
  <c r="F198" i="1"/>
  <c r="E198" i="1"/>
  <c r="D205" i="1"/>
  <c r="D199" i="1"/>
  <c r="D198" i="1"/>
  <c r="D220" i="1" s="1"/>
  <c r="G115" i="1"/>
  <c r="H115" i="1" s="1"/>
  <c r="I115" i="1" s="1"/>
  <c r="J115" i="1" s="1"/>
  <c r="K115" i="1" s="1"/>
  <c r="G113" i="1"/>
  <c r="H113" i="1" s="1"/>
  <c r="I113" i="1" s="1"/>
  <c r="J113" i="1" s="1"/>
  <c r="K113" i="1" s="1"/>
  <c r="G112" i="1"/>
  <c r="H112" i="1" s="1"/>
  <c r="G82" i="1"/>
  <c r="H82" i="1" s="1"/>
  <c r="I82" i="1" s="1"/>
  <c r="J82" i="1" s="1"/>
  <c r="K82" i="1" s="1"/>
  <c r="F116" i="1"/>
  <c r="E116" i="1"/>
  <c r="D116" i="1"/>
  <c r="F75" i="1"/>
  <c r="E75" i="1"/>
  <c r="D75" i="1"/>
  <c r="F84" i="1"/>
  <c r="E84" i="1"/>
  <c r="D84" i="1"/>
  <c r="H30" i="1"/>
  <c r="I30" i="1" s="1"/>
  <c r="J30" i="1" s="1"/>
  <c r="G184" i="1"/>
  <c r="H184" i="1" s="1"/>
  <c r="I184" i="1" s="1"/>
  <c r="G181" i="1"/>
  <c r="H181" i="1" s="1"/>
  <c r="I181" i="1" s="1"/>
  <c r="J181" i="1" s="1"/>
  <c r="K181" i="1" s="1"/>
  <c r="G180" i="1"/>
  <c r="H180" i="1" s="1"/>
  <c r="F191" i="1"/>
  <c r="F190" i="1"/>
  <c r="F189" i="1"/>
  <c r="E189" i="1"/>
  <c r="C191" i="1"/>
  <c r="C190" i="1"/>
  <c r="C189" i="1"/>
  <c r="F182" i="1"/>
  <c r="F185" i="1" s="1"/>
  <c r="E182" i="1"/>
  <c r="E185" i="1" s="1"/>
  <c r="D182" i="1"/>
  <c r="D185" i="1" s="1"/>
  <c r="H56" i="1"/>
  <c r="I56" i="1" s="1"/>
  <c r="J56" i="1" s="1"/>
  <c r="K56" i="1" s="1"/>
  <c r="G54" i="1"/>
  <c r="H54" i="1" s="1"/>
  <c r="I54" i="1" s="1"/>
  <c r="J54" i="1" s="1"/>
  <c r="K54" i="1" s="1"/>
  <c r="H53" i="1"/>
  <c r="I53" i="1" s="1"/>
  <c r="J53" i="1" s="1"/>
  <c r="K53" i="1" s="1"/>
  <c r="H52" i="1"/>
  <c r="I52" i="1" s="1"/>
  <c r="J52" i="1" s="1"/>
  <c r="K52" i="1" s="1"/>
  <c r="H51" i="1"/>
  <c r="I51" i="1" s="1"/>
  <c r="J51" i="1" s="1"/>
  <c r="K51" i="1" s="1"/>
  <c r="G50" i="1"/>
  <c r="H50" i="1" s="1"/>
  <c r="I50" i="1" s="1"/>
  <c r="J50" i="1" s="1"/>
  <c r="K50" i="1" s="1"/>
  <c r="H49" i="1"/>
  <c r="I49" i="1" s="1"/>
  <c r="C61" i="1"/>
  <c r="C60" i="1"/>
  <c r="C59" i="1"/>
  <c r="F61" i="1"/>
  <c r="E61" i="1"/>
  <c r="D61" i="1"/>
  <c r="F60" i="1"/>
  <c r="E60" i="1"/>
  <c r="D60" i="1"/>
  <c r="F59" i="1"/>
  <c r="E59" i="1"/>
  <c r="D59" i="1"/>
  <c r="H40" i="1"/>
  <c r="D38" i="1"/>
  <c r="F38" i="1"/>
  <c r="E38" i="1"/>
  <c r="F57" i="1"/>
  <c r="F19" i="1" s="1"/>
  <c r="E57" i="1"/>
  <c r="E19" i="1" s="1"/>
  <c r="D57" i="1"/>
  <c r="D19" i="1" s="1"/>
  <c r="F24" i="1"/>
  <c r="E24" i="1"/>
  <c r="D24" i="1"/>
  <c r="E18" i="1"/>
  <c r="E39" i="1" s="1"/>
  <c r="D18" i="1"/>
  <c r="D39" i="1" s="1"/>
  <c r="B47" i="3"/>
  <c r="F34" i="5"/>
  <c r="E34" i="5"/>
  <c r="D34" i="5"/>
  <c r="C34" i="5"/>
  <c r="H292" i="1" l="1"/>
  <c r="D208" i="1"/>
  <c r="E208" i="1"/>
  <c r="H230" i="1"/>
  <c r="G103" i="1"/>
  <c r="H106" i="1"/>
  <c r="G105" i="1"/>
  <c r="G148" i="1" s="1"/>
  <c r="I106" i="1"/>
  <c r="F27" i="5"/>
  <c r="F40" i="5"/>
  <c r="E40" i="5"/>
  <c r="E27" i="5"/>
  <c r="D40" i="5"/>
  <c r="D27" i="5"/>
  <c r="C40" i="5"/>
  <c r="C27" i="5"/>
  <c r="G232" i="1"/>
  <c r="F208" i="1"/>
  <c r="H91" i="1"/>
  <c r="I91" i="1" s="1"/>
  <c r="G39" i="1"/>
  <c r="H39" i="1" s="1"/>
  <c r="I39" i="1" s="1"/>
  <c r="J39" i="1" s="1"/>
  <c r="K39" i="1" s="1"/>
  <c r="D20" i="1"/>
  <c r="D35" i="1" s="1"/>
  <c r="G59" i="1"/>
  <c r="H59" i="1" s="1"/>
  <c r="F238" i="1"/>
  <c r="F20" i="1"/>
  <c r="F35" i="1" s="1"/>
  <c r="D16" i="2" s="1"/>
  <c r="C56" i="5"/>
  <c r="C63" i="5" s="1"/>
  <c r="C72" i="5" s="1"/>
  <c r="I40" i="1"/>
  <c r="F22" i="2"/>
  <c r="G22" i="5"/>
  <c r="C71" i="3"/>
  <c r="D70" i="3"/>
  <c r="D71" i="2"/>
  <c r="C71" i="2"/>
  <c r="C18" i="3"/>
  <c r="G20" i="5"/>
  <c r="C19" i="3"/>
  <c r="E19" i="3" s="1"/>
  <c r="C76" i="3" s="1"/>
  <c r="C64" i="2"/>
  <c r="I112" i="1"/>
  <c r="I69" i="1"/>
  <c r="F220" i="1"/>
  <c r="F202" i="1"/>
  <c r="E220" i="1"/>
  <c r="E202" i="1"/>
  <c r="E233" i="1"/>
  <c r="E234" i="1" s="1"/>
  <c r="E238" i="1"/>
  <c r="E239" i="1" s="1"/>
  <c r="I261" i="1"/>
  <c r="F173" i="1"/>
  <c r="E173" i="1"/>
  <c r="D173" i="1"/>
  <c r="I305" i="1"/>
  <c r="H304" i="1"/>
  <c r="G61" i="1"/>
  <c r="H61" i="1" s="1"/>
  <c r="F233" i="1"/>
  <c r="H293" i="1"/>
  <c r="H291" i="1"/>
  <c r="H279" i="1"/>
  <c r="H277" i="1"/>
  <c r="H276" i="1"/>
  <c r="D217" i="1"/>
  <c r="E217" i="1"/>
  <c r="I234" i="1"/>
  <c r="F243" i="1"/>
  <c r="E243" i="1"/>
  <c r="G164" i="1"/>
  <c r="H168" i="1"/>
  <c r="I168" i="1" s="1"/>
  <c r="J168" i="1" s="1"/>
  <c r="K168" i="1" s="1"/>
  <c r="F222" i="1"/>
  <c r="E222" i="1"/>
  <c r="H221" i="1"/>
  <c r="E216" i="1"/>
  <c r="E221" i="1"/>
  <c r="D222" i="1"/>
  <c r="D216" i="1"/>
  <c r="D221" i="1"/>
  <c r="E215" i="1"/>
  <c r="D202" i="1"/>
  <c r="D215" i="1"/>
  <c r="G60" i="1"/>
  <c r="H60" i="1" s="1"/>
  <c r="G182" i="1"/>
  <c r="G185" i="1" s="1"/>
  <c r="G16" i="1" s="1"/>
  <c r="H182" i="1"/>
  <c r="H185" i="1" s="1"/>
  <c r="H16" i="1" s="1"/>
  <c r="H271" i="1" s="1"/>
  <c r="H132" i="1" s="1"/>
  <c r="I180" i="1"/>
  <c r="K30" i="1"/>
  <c r="J184" i="1"/>
  <c r="J49" i="1"/>
  <c r="E20" i="1"/>
  <c r="E35" i="1" s="1"/>
  <c r="F118" i="1"/>
  <c r="C57" i="3" s="1"/>
  <c r="E118" i="1"/>
  <c r="H287" i="1" l="1"/>
  <c r="H133" i="1" s="1"/>
  <c r="I292" i="1"/>
  <c r="G271" i="1"/>
  <c r="G132" i="1" s="1"/>
  <c r="G287" i="1"/>
  <c r="G133" i="1" s="1"/>
  <c r="H103" i="1"/>
  <c r="I230" i="1"/>
  <c r="H105" i="1"/>
  <c r="J106" i="1"/>
  <c r="K106" i="1" s="1"/>
  <c r="F37" i="5"/>
  <c r="F38" i="5"/>
  <c r="F39" i="5"/>
  <c r="E37" i="5"/>
  <c r="E38" i="5"/>
  <c r="E39" i="5"/>
  <c r="D37" i="5"/>
  <c r="D38" i="5"/>
  <c r="C67" i="5" s="1"/>
  <c r="D39" i="5"/>
  <c r="F45" i="5"/>
  <c r="C60" i="5" s="1"/>
  <c r="F46" i="5"/>
  <c r="F47" i="5"/>
  <c r="F44" i="5"/>
  <c r="C37" i="5"/>
  <c r="C38" i="5"/>
  <c r="C39" i="5"/>
  <c r="D25" i="1"/>
  <c r="D28" i="1" s="1"/>
  <c r="D31" i="1" s="1"/>
  <c r="D32" i="1" s="1"/>
  <c r="D251" i="1" s="1"/>
  <c r="D76" i="3"/>
  <c r="E76" i="3" s="1"/>
  <c r="F76" i="3" s="1"/>
  <c r="G76" i="3" s="1"/>
  <c r="H76" i="3" s="1"/>
  <c r="E25" i="1"/>
  <c r="E28" i="1" s="1"/>
  <c r="H199" i="1"/>
  <c r="H71" i="1" s="1"/>
  <c r="D17" i="2"/>
  <c r="H163" i="1"/>
  <c r="G220" i="1"/>
  <c r="H220" i="1" s="1"/>
  <c r="G23" i="5"/>
  <c r="F210" i="1"/>
  <c r="E210" i="1"/>
  <c r="G222" i="1"/>
  <c r="H222" i="1" s="1"/>
  <c r="H229" i="1"/>
  <c r="H93" i="1" s="1"/>
  <c r="G233" i="1"/>
  <c r="G22" i="2"/>
  <c r="J40" i="1"/>
  <c r="G200" i="1"/>
  <c r="G72" i="1" s="1"/>
  <c r="G201" i="1"/>
  <c r="G73" i="1" s="1"/>
  <c r="G207" i="1"/>
  <c r="G97" i="1" s="1"/>
  <c r="G206" i="1"/>
  <c r="G98" i="1" s="1"/>
  <c r="E14" i="2"/>
  <c r="E15" i="2" s="1"/>
  <c r="G163" i="1"/>
  <c r="G199" i="1"/>
  <c r="H200" i="1"/>
  <c r="H72" i="1" s="1"/>
  <c r="H201" i="1"/>
  <c r="H73" i="1" s="1"/>
  <c r="H207" i="1"/>
  <c r="H97" i="1" s="1"/>
  <c r="H206" i="1"/>
  <c r="H98" i="1" s="1"/>
  <c r="F14" i="2"/>
  <c r="E70" i="3"/>
  <c r="D71" i="3"/>
  <c r="G44" i="3"/>
  <c r="C47" i="3" s="1"/>
  <c r="C69" i="2"/>
  <c r="D69" i="2"/>
  <c r="E18" i="3"/>
  <c r="F25" i="1"/>
  <c r="G31" i="5"/>
  <c r="D210" i="1"/>
  <c r="J112" i="1"/>
  <c r="J91" i="1"/>
  <c r="J69" i="1"/>
  <c r="J261" i="1"/>
  <c r="G21" i="1"/>
  <c r="H270" i="1"/>
  <c r="H269" i="1"/>
  <c r="F28" i="2" s="1"/>
  <c r="J305" i="1"/>
  <c r="I304" i="1"/>
  <c r="H288" i="1"/>
  <c r="H23" i="1" s="1"/>
  <c r="H286" i="1"/>
  <c r="H272" i="1"/>
  <c r="H147" i="1" s="1"/>
  <c r="G302" i="1"/>
  <c r="G288" i="1"/>
  <c r="G23" i="1" s="1"/>
  <c r="G272" i="1"/>
  <c r="G147" i="1" s="1"/>
  <c r="G286" i="1"/>
  <c r="G270" i="1"/>
  <c r="G241" i="1" s="1"/>
  <c r="G26" i="1" s="1"/>
  <c r="G269" i="1"/>
  <c r="E28" i="2" s="1"/>
  <c r="F234" i="1"/>
  <c r="I293" i="1"/>
  <c r="I291" i="1"/>
  <c r="I279" i="1"/>
  <c r="I277" i="1"/>
  <c r="I276" i="1"/>
  <c r="J234" i="1"/>
  <c r="I167" i="1"/>
  <c r="I221" i="1"/>
  <c r="J180" i="1"/>
  <c r="I182" i="1"/>
  <c r="I185" i="1" s="1"/>
  <c r="I16" i="1" s="1"/>
  <c r="I271" i="1" s="1"/>
  <c r="I132" i="1" s="1"/>
  <c r="H38" i="1"/>
  <c r="H17" i="1"/>
  <c r="G47" i="1"/>
  <c r="G48" i="1"/>
  <c r="G55" i="1"/>
  <c r="G38" i="1"/>
  <c r="G17" i="1"/>
  <c r="K184" i="1"/>
  <c r="H55" i="1"/>
  <c r="I61" i="1"/>
  <c r="H48" i="1"/>
  <c r="I60" i="1"/>
  <c r="I59" i="1"/>
  <c r="H47" i="1"/>
  <c r="K49" i="1"/>
  <c r="E86" i="1"/>
  <c r="E109" i="1"/>
  <c r="E120" i="1" s="1"/>
  <c r="F86" i="1"/>
  <c r="F109" i="1"/>
  <c r="F120" i="1" s="1"/>
  <c r="H148" i="1" l="1"/>
  <c r="I105" i="1"/>
  <c r="I287" i="1"/>
  <c r="I133" i="1" s="1"/>
  <c r="J292" i="1"/>
  <c r="I103" i="1"/>
  <c r="J230" i="1"/>
  <c r="E31" i="1"/>
  <c r="E40" i="1"/>
  <c r="G58" i="3"/>
  <c r="F58" i="3"/>
  <c r="E58" i="3"/>
  <c r="D75" i="3"/>
  <c r="E75" i="3" s="1"/>
  <c r="F75" i="3" s="1"/>
  <c r="G75" i="3" s="1"/>
  <c r="H75" i="3" s="1"/>
  <c r="H58" i="3"/>
  <c r="D58" i="3"/>
  <c r="C58" i="3"/>
  <c r="C75" i="3"/>
  <c r="C45" i="5"/>
  <c r="C47" i="5"/>
  <c r="C46" i="5"/>
  <c r="C44" i="5"/>
  <c r="D46" i="5"/>
  <c r="D44" i="5"/>
  <c r="D45" i="5"/>
  <c r="C51" i="5" s="1"/>
  <c r="D47" i="5"/>
  <c r="E45" i="5"/>
  <c r="E47" i="5"/>
  <c r="E46" i="5"/>
  <c r="E44" i="5"/>
  <c r="H232" i="1"/>
  <c r="H233" i="1"/>
  <c r="G27" i="5"/>
  <c r="C54" i="5"/>
  <c r="C70" i="5" s="1"/>
  <c r="F27" i="2"/>
  <c r="H141" i="1"/>
  <c r="H143" i="1" s="1"/>
  <c r="F216" i="1"/>
  <c r="G71" i="1"/>
  <c r="G165" i="1"/>
  <c r="D18" i="2"/>
  <c r="D32" i="2"/>
  <c r="D33" i="2" s="1"/>
  <c r="E211" i="1"/>
  <c r="F212" i="1"/>
  <c r="G273" i="1"/>
  <c r="F211" i="1"/>
  <c r="F15" i="2"/>
  <c r="G289" i="1"/>
  <c r="D262" i="1"/>
  <c r="I163" i="1"/>
  <c r="I199" i="1"/>
  <c r="I229" i="1"/>
  <c r="I93" i="1" s="1"/>
  <c r="H22" i="2"/>
  <c r="K40" i="1"/>
  <c r="G141" i="1"/>
  <c r="G143" i="1" s="1"/>
  <c r="E27" i="2"/>
  <c r="H130" i="1"/>
  <c r="H241" i="1"/>
  <c r="H26" i="1" s="1"/>
  <c r="G130" i="1"/>
  <c r="I200" i="1"/>
  <c r="I72" i="1" s="1"/>
  <c r="I201" i="1"/>
  <c r="I73" i="1" s="1"/>
  <c r="I207" i="1"/>
  <c r="I97" i="1" s="1"/>
  <c r="I206" i="1"/>
  <c r="I98" i="1" s="1"/>
  <c r="G14" i="2"/>
  <c r="G15" i="2" s="1"/>
  <c r="E71" i="3"/>
  <c r="F70" i="3"/>
  <c r="H55" i="3"/>
  <c r="G55" i="3"/>
  <c r="F55" i="3"/>
  <c r="E55" i="3"/>
  <c r="D55" i="3"/>
  <c r="C55" i="3"/>
  <c r="G32" i="5"/>
  <c r="F28" i="1"/>
  <c r="C52" i="5"/>
  <c r="G34" i="5"/>
  <c r="H205" i="1"/>
  <c r="H208" i="1" s="1"/>
  <c r="H198" i="1"/>
  <c r="G205" i="1"/>
  <c r="G208" i="1" s="1"/>
  <c r="G198" i="1"/>
  <c r="D211" i="1"/>
  <c r="E212" i="1"/>
  <c r="K112" i="1"/>
  <c r="K91" i="1"/>
  <c r="K69" i="1"/>
  <c r="I220" i="1"/>
  <c r="K261" i="1"/>
  <c r="H172" i="1"/>
  <c r="H173" i="1" s="1"/>
  <c r="H299" i="1"/>
  <c r="H302" i="1" s="1"/>
  <c r="G79" i="1"/>
  <c r="G172" i="1"/>
  <c r="G174" i="1" s="1"/>
  <c r="G24" i="1"/>
  <c r="G129" i="1" s="1"/>
  <c r="I270" i="1"/>
  <c r="I130" i="1" s="1"/>
  <c r="I269" i="1"/>
  <c r="G28" i="2" s="1"/>
  <c r="K305" i="1"/>
  <c r="J304" i="1"/>
  <c r="I288" i="1"/>
  <c r="I23" i="1" s="1"/>
  <c r="I286" i="1"/>
  <c r="I272" i="1"/>
  <c r="I147" i="1" s="1"/>
  <c r="J293" i="1"/>
  <c r="J291" i="1"/>
  <c r="J279" i="1"/>
  <c r="J277" i="1"/>
  <c r="J276" i="1"/>
  <c r="K234" i="1"/>
  <c r="J167" i="1"/>
  <c r="G216" i="1"/>
  <c r="H18" i="1"/>
  <c r="G18" i="1"/>
  <c r="J221" i="1"/>
  <c r="I222" i="1"/>
  <c r="I38" i="1"/>
  <c r="I17" i="1"/>
  <c r="J182" i="1"/>
  <c r="J185" i="1" s="1"/>
  <c r="J16" i="1" s="1"/>
  <c r="J271" i="1" s="1"/>
  <c r="J132" i="1" s="1"/>
  <c r="K180" i="1"/>
  <c r="K182" i="1" s="1"/>
  <c r="K185" i="1" s="1"/>
  <c r="K16" i="1" s="1"/>
  <c r="K271" i="1" s="1"/>
  <c r="K132" i="1" s="1"/>
  <c r="G57" i="1"/>
  <c r="G19" i="1" s="1"/>
  <c r="I55" i="1"/>
  <c r="J61" i="1"/>
  <c r="I48" i="1"/>
  <c r="J60" i="1"/>
  <c r="I47" i="1"/>
  <c r="J59" i="1"/>
  <c r="H57" i="1"/>
  <c r="H19" i="1" s="1"/>
  <c r="E122" i="1"/>
  <c r="F122" i="1"/>
  <c r="J105" i="1" l="1"/>
  <c r="I148" i="1"/>
  <c r="J287" i="1"/>
  <c r="J133" i="1" s="1"/>
  <c r="K292" i="1"/>
  <c r="K287" i="1" s="1"/>
  <c r="K133" i="1" s="1"/>
  <c r="E32" i="1"/>
  <c r="E251" i="1" s="1"/>
  <c r="E262" i="1"/>
  <c r="J103" i="1"/>
  <c r="K230" i="1"/>
  <c r="K103" i="1" s="1"/>
  <c r="F31" i="1"/>
  <c r="F40" i="1"/>
  <c r="G39" i="5"/>
  <c r="I232" i="1"/>
  <c r="I71" i="1"/>
  <c r="H216" i="1"/>
  <c r="G37" i="5"/>
  <c r="G38" i="5"/>
  <c r="G78" i="1"/>
  <c r="H162" i="1"/>
  <c r="H164" i="1" s="1"/>
  <c r="G27" i="2"/>
  <c r="I141" i="1"/>
  <c r="I143" i="1" s="1"/>
  <c r="H20" i="1"/>
  <c r="H35" i="1" s="1"/>
  <c r="F16" i="2" s="1"/>
  <c r="G20" i="1"/>
  <c r="G35" i="1" s="1"/>
  <c r="E16" i="2" s="1"/>
  <c r="G104" i="1"/>
  <c r="G107" i="1" s="1"/>
  <c r="G94" i="1"/>
  <c r="D56" i="3" s="1"/>
  <c r="H268" i="1"/>
  <c r="H273" i="1" s="1"/>
  <c r="D19" i="2"/>
  <c r="I22" i="2"/>
  <c r="H96" i="1"/>
  <c r="G96" i="1"/>
  <c r="F217" i="1"/>
  <c r="I241" i="1"/>
  <c r="I26" i="1" s="1"/>
  <c r="G80" i="1"/>
  <c r="H285" i="1"/>
  <c r="H289" i="1" s="1"/>
  <c r="J163" i="1"/>
  <c r="J199" i="1"/>
  <c r="J71" i="1" s="1"/>
  <c r="C60" i="3"/>
  <c r="C66" i="3" s="1"/>
  <c r="C78" i="3" s="1"/>
  <c r="H70" i="1"/>
  <c r="H202" i="1"/>
  <c r="G202" i="1"/>
  <c r="F215" i="1"/>
  <c r="G70" i="1"/>
  <c r="I299" i="1"/>
  <c r="I302" i="1" s="1"/>
  <c r="H79" i="1"/>
  <c r="J200" i="1"/>
  <c r="J72" i="1" s="1"/>
  <c r="J201" i="1"/>
  <c r="J73" i="1" s="1"/>
  <c r="J207" i="1"/>
  <c r="J97" i="1" s="1"/>
  <c r="J206" i="1"/>
  <c r="J98" i="1" s="1"/>
  <c r="H14" i="2"/>
  <c r="H15" i="2" s="1"/>
  <c r="K200" i="1"/>
  <c r="K72" i="1" s="1"/>
  <c r="K201" i="1"/>
  <c r="K73" i="1" s="1"/>
  <c r="K207" i="1"/>
  <c r="K97" i="1" s="1"/>
  <c r="K206" i="1"/>
  <c r="K98" i="1" s="1"/>
  <c r="I14" i="2"/>
  <c r="F71" i="3"/>
  <c r="G70" i="3"/>
  <c r="C53" i="5"/>
  <c r="C55" i="5" s="1"/>
  <c r="C57" i="5" s="1"/>
  <c r="C68" i="5"/>
  <c r="C69" i="5" s="1"/>
  <c r="C71" i="5" s="1"/>
  <c r="C73" i="5" s="1"/>
  <c r="I205" i="1"/>
  <c r="I208" i="1" s="1"/>
  <c r="I198" i="1"/>
  <c r="I70" i="1" s="1"/>
  <c r="J220" i="1"/>
  <c r="G215" i="1"/>
  <c r="E25" i="2"/>
  <c r="G173" i="1"/>
  <c r="J288" i="1"/>
  <c r="J23" i="1" s="1"/>
  <c r="J286" i="1"/>
  <c r="I172" i="1"/>
  <c r="I173" i="1" s="1"/>
  <c r="J270" i="1"/>
  <c r="J130" i="1" s="1"/>
  <c r="J269" i="1"/>
  <c r="H28" i="2" s="1"/>
  <c r="K304" i="1"/>
  <c r="J272" i="1"/>
  <c r="J147" i="1" s="1"/>
  <c r="K293" i="1"/>
  <c r="K288" i="1" s="1"/>
  <c r="K23" i="1" s="1"/>
  <c r="K291" i="1"/>
  <c r="K286" i="1" s="1"/>
  <c r="K279" i="1"/>
  <c r="K272" i="1" s="1"/>
  <c r="K147" i="1" s="1"/>
  <c r="K277" i="1"/>
  <c r="K270" i="1" s="1"/>
  <c r="K130" i="1" s="1"/>
  <c r="K276" i="1"/>
  <c r="K269" i="1" s="1"/>
  <c r="I28" i="2" s="1"/>
  <c r="K167" i="1"/>
  <c r="K163" i="1" s="1"/>
  <c r="I18" i="1"/>
  <c r="G217" i="1"/>
  <c r="K221" i="1"/>
  <c r="K199" i="1" s="1"/>
  <c r="J222" i="1"/>
  <c r="J17" i="1"/>
  <c r="J38" i="1"/>
  <c r="K38" i="1"/>
  <c r="K17" i="1"/>
  <c r="J55" i="1"/>
  <c r="K61" i="1"/>
  <c r="K55" i="1" s="1"/>
  <c r="J48" i="1"/>
  <c r="K60" i="1"/>
  <c r="K48" i="1" s="1"/>
  <c r="J47" i="1"/>
  <c r="K59" i="1"/>
  <c r="K47" i="1" s="1"/>
  <c r="I57" i="1"/>
  <c r="I19" i="1" s="1"/>
  <c r="C2" i="1"/>
  <c r="D118" i="1"/>
  <c r="J148" i="1" l="1"/>
  <c r="K148" i="1"/>
  <c r="J229" i="1"/>
  <c r="I233" i="1"/>
  <c r="F32" i="1"/>
  <c r="F251" i="1" s="1"/>
  <c r="F262" i="1"/>
  <c r="G262" i="1" s="1"/>
  <c r="H262" i="1" s="1"/>
  <c r="I262" i="1" s="1"/>
  <c r="G33" i="5"/>
  <c r="J241" i="1"/>
  <c r="J26" i="1" s="1"/>
  <c r="I285" i="1"/>
  <c r="I289" i="1" s="1"/>
  <c r="H80" i="1"/>
  <c r="H27" i="2"/>
  <c r="J141" i="1"/>
  <c r="J143" i="1" s="1"/>
  <c r="G84" i="1"/>
  <c r="I20" i="1"/>
  <c r="I35" i="1" s="1"/>
  <c r="G16" i="2" s="1"/>
  <c r="F17" i="2"/>
  <c r="H104" i="1"/>
  <c r="H107" i="1" s="1"/>
  <c r="I268" i="1"/>
  <c r="I273" i="1" s="1"/>
  <c r="H94" i="1"/>
  <c r="E56" i="3" s="1"/>
  <c r="D22" i="2"/>
  <c r="H165" i="1"/>
  <c r="H174" i="1"/>
  <c r="I202" i="1"/>
  <c r="I15" i="2"/>
  <c r="J299" i="1"/>
  <c r="J302" i="1" s="1"/>
  <c r="I79" i="1"/>
  <c r="I27" i="2"/>
  <c r="K141" i="1"/>
  <c r="K143" i="1" s="1"/>
  <c r="K216" i="1"/>
  <c r="K71" i="1"/>
  <c r="G71" i="3"/>
  <c r="H70" i="3"/>
  <c r="H71" i="3" s="1"/>
  <c r="I96" i="1"/>
  <c r="H217" i="1"/>
  <c r="G25" i="1"/>
  <c r="J205" i="1"/>
  <c r="J198" i="1"/>
  <c r="H215" i="1"/>
  <c r="K220" i="1"/>
  <c r="K198" i="1" s="1"/>
  <c r="J172" i="1"/>
  <c r="J173" i="1" s="1"/>
  <c r="K172" i="1"/>
  <c r="K173" i="1" s="1"/>
  <c r="H21" i="1"/>
  <c r="H24" i="1" s="1"/>
  <c r="I216" i="1"/>
  <c r="J216" i="1"/>
  <c r="J18" i="1"/>
  <c r="K18" i="1"/>
  <c r="K222" i="1"/>
  <c r="K205" i="1" s="1"/>
  <c r="K208" i="1" s="1"/>
  <c r="K57" i="1"/>
  <c r="K19" i="1" s="1"/>
  <c r="J57" i="1"/>
  <c r="J19" i="1" s="1"/>
  <c r="C27" i="3"/>
  <c r="C26" i="3" s="1"/>
  <c r="F14" i="1"/>
  <c r="F13" i="1"/>
  <c r="Q129" i="2"/>
  <c r="O129" i="2"/>
  <c r="D129" i="2"/>
  <c r="Q128" i="2"/>
  <c r="O128" i="2"/>
  <c r="E128" i="2"/>
  <c r="C128" i="2"/>
  <c r="Q127" i="2"/>
  <c r="O127" i="2"/>
  <c r="E127" i="2"/>
  <c r="C127" i="2"/>
  <c r="P98" i="2"/>
  <c r="Q98" i="2" s="1"/>
  <c r="H98" i="2"/>
  <c r="I98" i="2" s="1"/>
  <c r="P89" i="2"/>
  <c r="Q89" i="2" s="1"/>
  <c r="H89" i="2"/>
  <c r="I89" i="2" s="1"/>
  <c r="D37" i="2"/>
  <c r="B35" i="2"/>
  <c r="D12" i="2"/>
  <c r="E12" i="2" s="1"/>
  <c r="C12" i="2"/>
  <c r="D5" i="2"/>
  <c r="D8" i="2" s="1"/>
  <c r="B3" i="2"/>
  <c r="B3" i="3" s="1"/>
  <c r="C51" i="3" l="1"/>
  <c r="C50" i="3"/>
  <c r="J93" i="1"/>
  <c r="J232" i="1"/>
  <c r="F261" i="1"/>
  <c r="G252" i="1"/>
  <c r="G146" i="1" s="1"/>
  <c r="G150" i="1" s="1"/>
  <c r="C61" i="5"/>
  <c r="C62" i="5" s="1"/>
  <c r="C64" i="5" s="1"/>
  <c r="G40" i="5"/>
  <c r="I80" i="1"/>
  <c r="J285" i="1"/>
  <c r="J289" i="1" s="1"/>
  <c r="I217" i="1"/>
  <c r="J208" i="1"/>
  <c r="J70" i="1"/>
  <c r="J202" i="1"/>
  <c r="J20" i="1"/>
  <c r="J35" i="1" s="1"/>
  <c r="H16" i="2" s="1"/>
  <c r="K20" i="1"/>
  <c r="K35" i="1" s="1"/>
  <c r="I16" i="2" s="1"/>
  <c r="G17" i="2"/>
  <c r="J268" i="1"/>
  <c r="J273" i="1" s="1"/>
  <c r="I94" i="1"/>
  <c r="I104" i="1"/>
  <c r="I107" i="1" s="1"/>
  <c r="I162" i="1"/>
  <c r="H78" i="1"/>
  <c r="H84" i="1" s="1"/>
  <c r="F25" i="2"/>
  <c r="D23" i="2"/>
  <c r="D21" i="2"/>
  <c r="J96" i="1"/>
  <c r="K96" i="1"/>
  <c r="E18" i="2"/>
  <c r="K202" i="1"/>
  <c r="K70" i="1"/>
  <c r="K299" i="1"/>
  <c r="K302" i="1" s="1"/>
  <c r="K79" i="1" s="1"/>
  <c r="J79" i="1"/>
  <c r="C38" i="2"/>
  <c r="C14" i="2"/>
  <c r="C16" i="2"/>
  <c r="E17" i="2"/>
  <c r="H25" i="1"/>
  <c r="H129" i="1"/>
  <c r="I215" i="1"/>
  <c r="J215" i="1"/>
  <c r="K215" i="1"/>
  <c r="J262" i="1"/>
  <c r="F45" i="1"/>
  <c r="F283" i="1"/>
  <c r="F44" i="1"/>
  <c r="F282" i="1"/>
  <c r="K217" i="1"/>
  <c r="J217" i="1"/>
  <c r="F177" i="1"/>
  <c r="F195" i="1"/>
  <c r="D86" i="1"/>
  <c r="E13" i="1"/>
  <c r="F64" i="1"/>
  <c r="D109" i="1"/>
  <c r="D120" i="1" s="1"/>
  <c r="F160" i="1"/>
  <c r="G14" i="1"/>
  <c r="F178" i="1"/>
  <c r="G13" i="1"/>
  <c r="F194" i="1"/>
  <c r="E14" i="1"/>
  <c r="F65" i="1"/>
  <c r="F89" i="2"/>
  <c r="E89" i="2" s="1"/>
  <c r="D127" i="2"/>
  <c r="D128" i="2"/>
  <c r="N98" i="2"/>
  <c r="M98" i="2" s="1"/>
  <c r="F98" i="2"/>
  <c r="E98" i="2" s="1"/>
  <c r="P129" i="2"/>
  <c r="P128" i="2"/>
  <c r="N89" i="2"/>
  <c r="M89" i="2" s="1"/>
  <c r="E37" i="2"/>
  <c r="F12" i="2"/>
  <c r="P127" i="2"/>
  <c r="F225" i="1"/>
  <c r="F296" i="1"/>
  <c r="F265" i="1"/>
  <c r="F246" i="1"/>
  <c r="F297" i="1"/>
  <c r="F226" i="1"/>
  <c r="F266" i="1"/>
  <c r="F247" i="1"/>
  <c r="F159" i="1"/>
  <c r="C29" i="3"/>
  <c r="C30" i="3" s="1"/>
  <c r="K229" i="1" l="1"/>
  <c r="J233" i="1"/>
  <c r="K241" i="1" s="1"/>
  <c r="K26" i="1" s="1"/>
  <c r="J80" i="1"/>
  <c r="K285" i="1"/>
  <c r="K289" i="1" s="1"/>
  <c r="K80" i="1" s="1"/>
  <c r="H17" i="2"/>
  <c r="F56" i="3"/>
  <c r="J94" i="1"/>
  <c r="J104" i="1"/>
  <c r="J107" i="1" s="1"/>
  <c r="K268" i="1"/>
  <c r="K273" i="1" s="1"/>
  <c r="I164" i="1"/>
  <c r="I165" i="1" s="1"/>
  <c r="C18" i="2"/>
  <c r="E19" i="2"/>
  <c r="E21" i="2"/>
  <c r="E23" i="2"/>
  <c r="F18" i="2"/>
  <c r="F19" i="2" s="1"/>
  <c r="G283" i="1"/>
  <c r="D51" i="3"/>
  <c r="G282" i="1"/>
  <c r="D50" i="3"/>
  <c r="K262" i="1"/>
  <c r="E44" i="1"/>
  <c r="E282" i="1"/>
  <c r="E45" i="1"/>
  <c r="E283" i="1"/>
  <c r="G44" i="1"/>
  <c r="G45" i="1"/>
  <c r="E195" i="1"/>
  <c r="E64" i="1"/>
  <c r="D122" i="1"/>
  <c r="E177" i="1"/>
  <c r="E246" i="1"/>
  <c r="E265" i="1"/>
  <c r="G296" i="1"/>
  <c r="D13" i="1"/>
  <c r="E225" i="1"/>
  <c r="E159" i="1"/>
  <c r="H13" i="1"/>
  <c r="G125" i="1"/>
  <c r="E194" i="1"/>
  <c r="G159" i="1"/>
  <c r="E296" i="1"/>
  <c r="G194" i="1"/>
  <c r="E297" i="1"/>
  <c r="G226" i="1"/>
  <c r="G178" i="1"/>
  <c r="E247" i="1"/>
  <c r="G160" i="1"/>
  <c r="G247" i="1"/>
  <c r="E266" i="1"/>
  <c r="E226" i="1"/>
  <c r="E160" i="1"/>
  <c r="G195" i="1"/>
  <c r="G266" i="1"/>
  <c r="G64" i="1"/>
  <c r="G246" i="1"/>
  <c r="G177" i="1"/>
  <c r="G225" i="1"/>
  <c r="G265" i="1"/>
  <c r="D14" i="1"/>
  <c r="E178" i="1"/>
  <c r="E65" i="1"/>
  <c r="G65" i="1"/>
  <c r="G297" i="1"/>
  <c r="G126" i="1"/>
  <c r="H14" i="1"/>
  <c r="F37" i="2"/>
  <c r="G12" i="2"/>
  <c r="D283" i="1" l="1"/>
  <c r="K232" i="1"/>
  <c r="K233" i="1" s="1"/>
  <c r="K93" i="1"/>
  <c r="I41" i="2"/>
  <c r="I43" i="2" s="1"/>
  <c r="I17" i="2"/>
  <c r="I21" i="1"/>
  <c r="I24" i="1" s="1"/>
  <c r="I174" i="1"/>
  <c r="K94" i="1"/>
  <c r="K104" i="1"/>
  <c r="K107" i="1" s="1"/>
  <c r="G56" i="3"/>
  <c r="J162" i="1"/>
  <c r="I78" i="1"/>
  <c r="I84" i="1" s="1"/>
  <c r="F21" i="2"/>
  <c r="F23" i="2"/>
  <c r="H282" i="1"/>
  <c r="E50" i="3"/>
  <c r="H283" i="1"/>
  <c r="E51" i="3"/>
  <c r="D44" i="1"/>
  <c r="D282" i="1"/>
  <c r="H44" i="1"/>
  <c r="H265" i="1"/>
  <c r="D45" i="1"/>
  <c r="H45" i="1"/>
  <c r="H246" i="1"/>
  <c r="D159" i="1"/>
  <c r="D194" i="1"/>
  <c r="D64" i="1"/>
  <c r="D265" i="1"/>
  <c r="D177" i="1"/>
  <c r="D246" i="1"/>
  <c r="D225" i="1"/>
  <c r="D296" i="1"/>
  <c r="H159" i="1"/>
  <c r="I13" i="1"/>
  <c r="H225" i="1"/>
  <c r="H177" i="1"/>
  <c r="H64" i="1"/>
  <c r="H194" i="1"/>
  <c r="H125" i="1"/>
  <c r="H296" i="1"/>
  <c r="H266" i="1"/>
  <c r="H195" i="1"/>
  <c r="H65" i="1"/>
  <c r="H247" i="1"/>
  <c r="H226" i="1"/>
  <c r="H297" i="1"/>
  <c r="H126" i="1"/>
  <c r="H178" i="1"/>
  <c r="H160" i="1"/>
  <c r="I14" i="1"/>
  <c r="D65" i="1"/>
  <c r="D247" i="1"/>
  <c r="D160" i="1"/>
  <c r="D226" i="1"/>
  <c r="D297" i="1"/>
  <c r="D178" i="1"/>
  <c r="D266" i="1"/>
  <c r="D195" i="1"/>
  <c r="C35" i="3"/>
  <c r="C11" i="3" s="1"/>
  <c r="C13" i="3" s="1"/>
  <c r="G37" i="2"/>
  <c r="H12" i="2"/>
  <c r="I25" i="1" l="1"/>
  <c r="I129" i="1"/>
  <c r="F50" i="3"/>
  <c r="G18" i="2"/>
  <c r="G25" i="2"/>
  <c r="H56" i="3"/>
  <c r="J164" i="1"/>
  <c r="J165" i="1" s="1"/>
  <c r="I283" i="1"/>
  <c r="F51" i="3"/>
  <c r="E21" i="3"/>
  <c r="I44" i="1"/>
  <c r="I282" i="1"/>
  <c r="I45" i="1"/>
  <c r="I177" i="1"/>
  <c r="I296" i="1"/>
  <c r="I159" i="1"/>
  <c r="I194" i="1"/>
  <c r="I225" i="1"/>
  <c r="I265" i="1"/>
  <c r="I246" i="1"/>
  <c r="J13" i="1"/>
  <c r="I64" i="1"/>
  <c r="I125" i="1"/>
  <c r="I178" i="1"/>
  <c r="I247" i="1"/>
  <c r="J14" i="1"/>
  <c r="I65" i="1"/>
  <c r="I266" i="1"/>
  <c r="I226" i="1"/>
  <c r="I160" i="1"/>
  <c r="I297" i="1"/>
  <c r="I195" i="1"/>
  <c r="I126" i="1"/>
  <c r="H37" i="2"/>
  <c r="I12" i="2"/>
  <c r="G50" i="3" l="1"/>
  <c r="G19" i="2"/>
  <c r="G23" i="2"/>
  <c r="G21" i="2"/>
  <c r="J174" i="1"/>
  <c r="J21" i="1"/>
  <c r="J24" i="1" s="1"/>
  <c r="K162" i="1"/>
  <c r="K164" i="1" s="1"/>
  <c r="J78" i="1"/>
  <c r="J84" i="1" s="1"/>
  <c r="J283" i="1"/>
  <c r="G51" i="3"/>
  <c r="J44" i="1"/>
  <c r="J282" i="1"/>
  <c r="J45" i="1"/>
  <c r="J177" i="1"/>
  <c r="J125" i="1"/>
  <c r="K13" i="1"/>
  <c r="J194" i="1"/>
  <c r="J246" i="1"/>
  <c r="J225" i="1"/>
  <c r="J296" i="1"/>
  <c r="J159" i="1"/>
  <c r="J64" i="1"/>
  <c r="J265" i="1"/>
  <c r="J266" i="1"/>
  <c r="J160" i="1"/>
  <c r="J247" i="1"/>
  <c r="J178" i="1"/>
  <c r="J297" i="1"/>
  <c r="J195" i="1"/>
  <c r="J126" i="1"/>
  <c r="J226" i="1"/>
  <c r="K14" i="1"/>
  <c r="J65" i="1"/>
  <c r="E43" i="2"/>
  <c r="B42" i="2"/>
  <c r="B43" i="2"/>
  <c r="I37" i="2"/>
  <c r="H25" i="2" l="1"/>
  <c r="J129" i="1"/>
  <c r="J25" i="1"/>
  <c r="K165" i="1"/>
  <c r="K78" i="1" s="1"/>
  <c r="K84" i="1" s="1"/>
  <c r="K174" i="1"/>
  <c r="K21" i="1"/>
  <c r="K24" i="1" s="1"/>
  <c r="K282" i="1"/>
  <c r="H50" i="3"/>
  <c r="K283" i="1"/>
  <c r="H51" i="3"/>
  <c r="K44" i="1"/>
  <c r="K45" i="1"/>
  <c r="K177" i="1"/>
  <c r="K64" i="1"/>
  <c r="K246" i="1"/>
  <c r="K265" i="1"/>
  <c r="K225" i="1"/>
  <c r="K296" i="1"/>
  <c r="K159" i="1"/>
  <c r="K125" i="1"/>
  <c r="K194" i="1"/>
  <c r="K297" i="1"/>
  <c r="K65" i="1"/>
  <c r="K226" i="1"/>
  <c r="K178" i="1"/>
  <c r="K195" i="1"/>
  <c r="K266" i="1"/>
  <c r="K126" i="1"/>
  <c r="K160" i="1"/>
  <c r="K247" i="1"/>
  <c r="H18" i="2" l="1"/>
  <c r="I25" i="2"/>
  <c r="K129" i="1"/>
  <c r="K25" i="1"/>
  <c r="C25" i="3"/>
  <c r="F25" i="3"/>
  <c r="H19" i="2" l="1"/>
  <c r="H21" i="2"/>
  <c r="H23" i="2"/>
  <c r="I18" i="2"/>
  <c r="G128" i="2"/>
  <c r="D25" i="3"/>
  <c r="I23" i="2" l="1"/>
  <c r="I21" i="2"/>
  <c r="I19" i="2"/>
  <c r="L100" i="2"/>
  <c r="L99" i="2" s="1"/>
  <c r="L102" i="2"/>
  <c r="L103" i="2" s="1"/>
  <c r="B128" i="2"/>
  <c r="D102" i="2"/>
  <c r="D103" i="2" s="1"/>
  <c r="B127" i="2"/>
  <c r="D100" i="2"/>
  <c r="D99" i="2" s="1"/>
  <c r="D91" i="2"/>
  <c r="D90" i="2" s="1"/>
  <c r="D93" i="2"/>
  <c r="D94" i="2" s="1"/>
  <c r="L91" i="2"/>
  <c r="L90" i="2" s="1"/>
  <c r="L93" i="2"/>
  <c r="L94" i="2" s="1"/>
  <c r="G127" i="2"/>
  <c r="G129" i="2" l="1"/>
  <c r="F239" i="1" l="1"/>
  <c r="G27" i="1" l="1"/>
  <c r="G28" i="1" s="1"/>
  <c r="G243" i="1"/>
  <c r="G29" i="1" l="1"/>
  <c r="G92" i="1" s="1"/>
  <c r="G131" i="1" s="1"/>
  <c r="K239" i="1"/>
  <c r="G100" i="1" l="1"/>
  <c r="G31" i="1"/>
  <c r="G210" i="1" l="1"/>
  <c r="G109" i="1"/>
  <c r="G257" i="1"/>
  <c r="G128" i="1"/>
  <c r="G134" i="1" s="1"/>
  <c r="E32" i="2" l="1"/>
  <c r="E33" i="2" s="1"/>
  <c r="G212" i="1"/>
  <c r="G137" i="1" s="1"/>
  <c r="G138" i="1" s="1"/>
  <c r="G211" i="1"/>
  <c r="E26" i="2" l="1"/>
  <c r="E30" i="2" s="1"/>
  <c r="E38" i="2" s="1"/>
  <c r="G152" i="1"/>
  <c r="G154" i="1" s="1"/>
  <c r="G74" i="1" l="1"/>
  <c r="G156" i="1" s="1"/>
  <c r="G75" i="1" l="1"/>
  <c r="G86" i="1" s="1"/>
  <c r="H153" i="1"/>
  <c r="G237" i="1"/>
  <c r="G238" i="1" l="1"/>
  <c r="H242" i="1"/>
  <c r="H243" i="1" l="1"/>
  <c r="H27" i="1"/>
  <c r="H28" i="1" s="1"/>
  <c r="H29" i="1" s="1"/>
  <c r="H92" i="1" l="1"/>
  <c r="H131" i="1" s="1"/>
  <c r="H31" i="1"/>
  <c r="H100" i="1" l="1"/>
  <c r="H109" i="1" s="1"/>
  <c r="H210" i="1"/>
  <c r="H257" i="1"/>
  <c r="H33" i="1" s="1"/>
  <c r="H32" i="1" s="1"/>
  <c r="H251" i="1" s="1"/>
  <c r="I252" i="1" s="1"/>
  <c r="I146" i="1" s="1"/>
  <c r="I150" i="1" s="1"/>
  <c r="H128" i="1"/>
  <c r="H134" i="1" s="1"/>
  <c r="F32" i="2" l="1"/>
  <c r="H212" i="1"/>
  <c r="H137" i="1" s="1"/>
  <c r="H211" i="1"/>
  <c r="H138" i="1" l="1"/>
  <c r="F26" i="2"/>
  <c r="F30" i="2" s="1"/>
  <c r="F38" i="2" s="1"/>
  <c r="F33" i="2"/>
  <c r="G33" i="1"/>
  <c r="G32" i="1" s="1"/>
  <c r="G251" i="1" s="1"/>
  <c r="G259" i="1"/>
  <c r="H252" i="1" l="1"/>
  <c r="H146" i="1" s="1"/>
  <c r="H150" i="1" s="1"/>
  <c r="H152" i="1" s="1"/>
  <c r="H154" i="1" s="1"/>
  <c r="G253" i="1"/>
  <c r="H256" i="1"/>
  <c r="H259" i="1" s="1"/>
  <c r="G117" i="1"/>
  <c r="H74" i="1" l="1"/>
  <c r="I256" i="1"/>
  <c r="H117" i="1"/>
  <c r="G114" i="1"/>
  <c r="G116" i="1" s="1"/>
  <c r="G118" i="1" s="1"/>
  <c r="D57" i="3" s="1"/>
  <c r="H250" i="1"/>
  <c r="H253" i="1" s="1"/>
  <c r="H237" i="1" l="1"/>
  <c r="H75" i="1"/>
  <c r="H86" i="1" s="1"/>
  <c r="H156" i="1"/>
  <c r="I153" i="1"/>
  <c r="G120" i="1"/>
  <c r="G122" i="1" s="1"/>
  <c r="I250" i="1"/>
  <c r="H114" i="1"/>
  <c r="H116" i="1" s="1"/>
  <c r="H118" i="1" s="1"/>
  <c r="E57" i="3" s="1"/>
  <c r="I242" i="1" l="1"/>
  <c r="H238" i="1"/>
  <c r="D60" i="3"/>
  <c r="D66" i="3" s="1"/>
  <c r="H120" i="1"/>
  <c r="H122" i="1" s="1"/>
  <c r="I243" i="1" l="1"/>
  <c r="I27" i="1"/>
  <c r="I28" i="1" s="1"/>
  <c r="I29" i="1" s="1"/>
  <c r="E60" i="3"/>
  <c r="E66" i="3" s="1"/>
  <c r="D78" i="3"/>
  <c r="I92" i="1" l="1"/>
  <c r="I131" i="1" s="1"/>
  <c r="E39" i="2"/>
  <c r="E78" i="3"/>
  <c r="I31" i="1"/>
  <c r="I100" i="1" l="1"/>
  <c r="I109" i="1" s="1"/>
  <c r="F39" i="2"/>
  <c r="I210" i="1"/>
  <c r="I257" i="1"/>
  <c r="I128" i="1"/>
  <c r="I134" i="1" s="1"/>
  <c r="G32" i="2" l="1"/>
  <c r="I211" i="1"/>
  <c r="I212" i="1"/>
  <c r="I137" i="1" s="1"/>
  <c r="I33" i="1"/>
  <c r="I32" i="1" s="1"/>
  <c r="I251" i="1" s="1"/>
  <c r="I259" i="1"/>
  <c r="I138" i="1" l="1"/>
  <c r="I152" i="1" s="1"/>
  <c r="I154" i="1" s="1"/>
  <c r="I74" i="1" s="1"/>
  <c r="G33" i="2"/>
  <c r="G26" i="2"/>
  <c r="G30" i="2" s="1"/>
  <c r="G38" i="2" s="1"/>
  <c r="J252" i="1"/>
  <c r="J146" i="1" s="1"/>
  <c r="J150" i="1" s="1"/>
  <c r="I253" i="1"/>
  <c r="J256" i="1"/>
  <c r="I117" i="1"/>
  <c r="I156" i="1" l="1"/>
  <c r="J153" i="1"/>
  <c r="I75" i="1"/>
  <c r="I86" i="1" s="1"/>
  <c r="I237" i="1"/>
  <c r="J250" i="1"/>
  <c r="I114" i="1"/>
  <c r="I116" i="1" s="1"/>
  <c r="I118" i="1" s="1"/>
  <c r="F57" i="3" s="1"/>
  <c r="J242" i="1" l="1"/>
  <c r="I238" i="1"/>
  <c r="I120" i="1"/>
  <c r="I122" i="1" s="1"/>
  <c r="J243" i="1" l="1"/>
  <c r="J27" i="1"/>
  <c r="J28" i="1" s="1"/>
  <c r="J29" i="1" s="1"/>
  <c r="F60" i="3"/>
  <c r="F66" i="3" s="1"/>
  <c r="J92" i="1" l="1"/>
  <c r="J131" i="1" s="1"/>
  <c r="F78" i="3"/>
  <c r="J31" i="1"/>
  <c r="J100" i="1" l="1"/>
  <c r="J109" i="1" s="1"/>
  <c r="G39" i="2"/>
  <c r="J210" i="1"/>
  <c r="J257" i="1"/>
  <c r="J128" i="1"/>
  <c r="J134" i="1" s="1"/>
  <c r="H32" i="2" l="1"/>
  <c r="J211" i="1"/>
  <c r="J212" i="1"/>
  <c r="J137" i="1" s="1"/>
  <c r="J33" i="1"/>
  <c r="J32" i="1" s="1"/>
  <c r="J251" i="1" s="1"/>
  <c r="J259" i="1"/>
  <c r="J138" i="1" l="1"/>
  <c r="J152" i="1" s="1"/>
  <c r="J154" i="1" s="1"/>
  <c r="J74" i="1" s="1"/>
  <c r="H33" i="2"/>
  <c r="H26" i="2"/>
  <c r="H30" i="2" s="1"/>
  <c r="H38" i="2" s="1"/>
  <c r="K252" i="1"/>
  <c r="K146" i="1" s="1"/>
  <c r="K150" i="1" s="1"/>
  <c r="J253" i="1"/>
  <c r="J117" i="1"/>
  <c r="K256" i="1"/>
  <c r="K153" i="1" l="1"/>
  <c r="J75" i="1"/>
  <c r="J86" i="1" s="1"/>
  <c r="J156" i="1"/>
  <c r="J237" i="1"/>
  <c r="J114" i="1"/>
  <c r="J116" i="1" s="1"/>
  <c r="J118" i="1" s="1"/>
  <c r="G57" i="3" s="1"/>
  <c r="K250" i="1"/>
  <c r="J238" i="1" l="1"/>
  <c r="K242" i="1"/>
  <c r="J120" i="1"/>
  <c r="J122" i="1" s="1"/>
  <c r="K243" i="1" l="1"/>
  <c r="K27" i="1"/>
  <c r="K28" i="1" s="1"/>
  <c r="K29" i="1" s="1"/>
  <c r="G60" i="3"/>
  <c r="G66" i="3" s="1"/>
  <c r="K92" i="1" l="1"/>
  <c r="K131" i="1" s="1"/>
  <c r="G78" i="3"/>
  <c r="K31" i="1"/>
  <c r="K100" i="1" l="1"/>
  <c r="K109" i="1" s="1"/>
  <c r="H39" i="2"/>
  <c r="K210" i="1"/>
  <c r="K257" i="1"/>
  <c r="K128" i="1"/>
  <c r="K134" i="1" s="1"/>
  <c r="I32" i="2" l="1"/>
  <c r="K211" i="1"/>
  <c r="K212" i="1"/>
  <c r="K137" i="1" s="1"/>
  <c r="K33" i="1"/>
  <c r="K32" i="1" s="1"/>
  <c r="K251" i="1" s="1"/>
  <c r="K253" i="1" s="1"/>
  <c r="K114" i="1" s="1"/>
  <c r="K116" i="1" s="1"/>
  <c r="K259" i="1"/>
  <c r="K117" i="1" s="1"/>
  <c r="K138" i="1" l="1"/>
  <c r="K152" i="1" s="1"/>
  <c r="K154" i="1" s="1"/>
  <c r="K74" i="1" s="1"/>
  <c r="I33" i="2"/>
  <c r="I26" i="2"/>
  <c r="I30" i="2" s="1"/>
  <c r="I38" i="2" s="1"/>
  <c r="K118" i="1"/>
  <c r="H57" i="3" s="1"/>
  <c r="K156" i="1" l="1"/>
  <c r="K237" i="1"/>
  <c r="K238" i="1" s="1"/>
  <c r="K75" i="1"/>
  <c r="K86" i="1" s="1"/>
  <c r="C42" i="2"/>
  <c r="K120" i="1"/>
  <c r="K122" i="1" l="1"/>
  <c r="H60" i="3"/>
  <c r="H66" i="3" s="1"/>
  <c r="H78" i="3" l="1"/>
  <c r="H4" i="2" s="1"/>
  <c r="I50" i="2" s="1"/>
  <c r="I44" i="2" l="1"/>
  <c r="I39" i="2"/>
  <c r="C45" i="2" s="1"/>
  <c r="I45" i="2" s="1"/>
  <c r="C43" i="2"/>
  <c r="I46" i="2" l="1"/>
  <c r="C50" i="2"/>
  <c r="C44" i="2"/>
  <c r="D68" i="2" l="1"/>
  <c r="I48" i="2"/>
  <c r="I49" i="2" s="1"/>
  <c r="C46" i="2"/>
  <c r="D77" i="2" l="1"/>
  <c r="L98" i="2" s="1"/>
  <c r="D70" i="2"/>
  <c r="D72" i="2" s="1"/>
  <c r="D98" i="2" s="1"/>
  <c r="D82" i="2"/>
  <c r="D81" i="2"/>
  <c r="D83" i="2"/>
  <c r="D78" i="2"/>
  <c r="D76" i="2"/>
  <c r="C68" i="2"/>
  <c r="C48" i="2"/>
  <c r="C49" i="2" s="1"/>
  <c r="C83" i="2" l="1"/>
  <c r="C82" i="2"/>
  <c r="C81" i="2"/>
  <c r="C70" i="2"/>
  <c r="C72" i="2" s="1"/>
  <c r="C78" i="2"/>
  <c r="C77" i="2"/>
  <c r="L89" i="2" s="1"/>
  <c r="C76" i="2"/>
  <c r="E72" i="2" l="1"/>
  <c r="D89" i="2"/>
  <c r="H7" i="2"/>
  <c r="H8" i="2" s="1"/>
  <c r="I8" i="2" s="1" a="1"/>
  <c r="I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I50" authorId="0" shapeId="0" xr:uid="{ECFA8BD1-6983-45E2-AE64-F8894818BB2B}">
      <text>
        <r>
          <rPr>
            <sz val="11"/>
            <color theme="1"/>
            <rFont val="Calibri"/>
            <family val="2"/>
            <charset val="1"/>
          </rPr>
          <t>Wall Street Prep:
Implied g = [r -FCF(t)/TV]/(1+FCF(t)/TV)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I39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Ahmed Wael:
Unlevered Beta</t>
        </r>
      </text>
    </comment>
    <comment ref="C47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Ahmed Wael:
Re-levered Beta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<sst xmlns="http://schemas.openxmlformats.org/spreadsheetml/2006/main" count="511" uniqueCount="405">
  <si>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</si>
  <si>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</si>
  <si>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</si>
  <si>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</si>
  <si>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</si>
  <si>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</si>
  <si>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</si>
  <si>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</si>
  <si>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</si>
  <si>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Implied Share Price</t>
  </si>
  <si>
    <t>Portion of First Year Cash Flows</t>
  </si>
  <si>
    <t>Upside / (Downside)</t>
  </si>
  <si>
    <t>Midyear adjustment?</t>
  </si>
  <si>
    <t>Unlevered Free Cash Flows</t>
  </si>
  <si>
    <t>LTM</t>
  </si>
  <si>
    <t>Actual</t>
  </si>
  <si>
    <t>Forecasts</t>
  </si>
  <si>
    <t>Fiscal year ended</t>
  </si>
  <si>
    <t>Revenue</t>
  </si>
  <si>
    <t>% growth</t>
  </si>
  <si>
    <t>EBITDA</t>
  </si>
  <si>
    <t>% margin</t>
  </si>
  <si>
    <t>EBIT</t>
  </si>
  <si>
    <t>Tax on EBIT</t>
  </si>
  <si>
    <t>Tax rate</t>
  </si>
  <si>
    <t>NOPAT (aka EBIAT)</t>
  </si>
  <si>
    <t>Depreciation &amp; amortization</t>
  </si>
  <si>
    <t>Changes in net working capital</t>
  </si>
  <si>
    <t>Capital expenditures</t>
  </si>
  <si>
    <t>as % of revenue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</si>
  <si>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</si>
  <si>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</si>
  <si>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</si>
  <si>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</si>
  <si>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</si>
  <si>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</si>
  <si>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</si>
  <si>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</si>
  <si>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</si>
  <si>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</si>
  <si>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</si>
  <si>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</si>
  <si>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</si>
  <si>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</si>
  <si>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</si>
  <si>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</si>
  <si>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</si>
  <si>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</si>
  <si>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</si>
  <si>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</si>
  <si>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</si>
  <si>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</si>
  <si>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</si>
  <si>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</si>
  <si>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</si>
  <si>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</si>
  <si>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</si>
  <si>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</si>
  <si>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Consolidated FS 2025</t>
  </si>
  <si>
    <t>Source date</t>
  </si>
  <si>
    <t>12/31/2025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</si>
  <si>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</si>
  <si>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</si>
  <si>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</si>
  <si>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</si>
  <si>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</si>
  <si>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</si>
  <si>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</si>
  <si>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</si>
  <si>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</si>
  <si>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</si>
  <si>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</si>
  <si>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</si>
  <si>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</si>
  <si>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</si>
  <si>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</si>
  <si>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Debt securities (optional cash asset)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</si>
  <si>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</si>
  <si>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</si>
  <si>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</si>
  <si>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</si>
  <si>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</si>
  <si>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</si>
  <si>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</si>
  <si>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</si>
  <si>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</si>
  <si>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</si>
  <si>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</si>
  <si>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</si>
  <si>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</si>
  <si>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</si>
  <si>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</si>
  <si>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</si>
  <si>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</si>
  <si>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</si>
  <si>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</si>
  <si>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</si>
  <si>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</si>
  <si>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</si>
  <si>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</si>
  <si>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All amounts are shown in EGP, except per-share data, ratios, and shares outstanding</t>
  </si>
  <si>
    <t>Company Name</t>
  </si>
  <si>
    <t>Ticker</t>
  </si>
  <si>
    <t>Latest Closing Share Price</t>
  </si>
  <si>
    <t>Latest Closing Share Price Date</t>
  </si>
  <si>
    <t>Last Historical Year</t>
  </si>
  <si>
    <t>INCOME STATEMENT</t>
  </si>
  <si>
    <t xml:space="preserve">Fiscal year  </t>
  </si>
  <si>
    <t>Fiscal year end date</t>
  </si>
  <si>
    <t>Finance income</t>
  </si>
  <si>
    <t>Growth Rates &amp; Margins</t>
  </si>
  <si>
    <t>Revenue growth</t>
  </si>
  <si>
    <t>Gross Margin % of Revenue</t>
  </si>
  <si>
    <t>BALANCE SHEET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</si>
  <si>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</si>
  <si>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</si>
  <si>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</si>
  <si>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</si>
  <si>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</si>
  <si>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</si>
  <si>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 AND EQUITY</t>
  </si>
  <si>
    <t>Current Liabilities</t>
  </si>
  <si>
    <t>Total Current Liabilities</t>
  </si>
  <si>
    <t>Non-Current Liabilities</t>
  </si>
  <si>
    <t>Total Non-Current Liabilities</t>
  </si>
  <si>
    <t>Total Liabilities</t>
  </si>
  <si>
    <t>Equity</t>
  </si>
  <si>
    <t>Total Equity</t>
  </si>
  <si>
    <t>Total Liabilites &amp; Equity</t>
  </si>
  <si>
    <t>Balance Check</t>
  </si>
  <si>
    <t>CASH FLOW STATEMENT</t>
  </si>
  <si>
    <t>Net income</t>
  </si>
  <si>
    <t>Operating cash flow before working capital</t>
  </si>
  <si>
    <t>Changes in Working Capital</t>
  </si>
  <si>
    <t>Net change in working capital</t>
  </si>
  <si>
    <t>Net cash flows from operating activities</t>
  </si>
  <si>
    <t>CASH FLOWS FROM INVESTING ACTIVITIES</t>
  </si>
  <si>
    <t>Paid to purchase property, plant and equipment</t>
  </si>
  <si>
    <t>Net cash flows used in investing activities</t>
  </si>
  <si>
    <t>CASH FLOWS FROM FINANCING ACTIVITIES</t>
  </si>
  <si>
    <t>Paid dividends</t>
  </si>
  <si>
    <t>Net cash flow from financing activities</t>
  </si>
  <si>
    <t>Net change in cash and cash equivalents</t>
  </si>
  <si>
    <t>Cash and cash equivalents at 1 January</t>
  </si>
  <si>
    <t>Cash and cash equivalents at 31 December</t>
  </si>
  <si>
    <t>Reconciliation Check vs BS Cash</t>
  </si>
  <si>
    <t>PROPERTY, PLANT &amp; EQUIPMENT</t>
  </si>
  <si>
    <t>Beginning of period</t>
  </si>
  <si>
    <t>Plus: Capital expenditures</t>
  </si>
  <si>
    <t>Less: Depreciation</t>
  </si>
  <si>
    <t>End of period</t>
  </si>
  <si>
    <t>CapEx % of revenue</t>
  </si>
  <si>
    <t>Depreciation % of beginning PP&amp;E</t>
  </si>
  <si>
    <t>IMPUTING TOTAL DEPRECIATION &amp; AMORTIZATION</t>
  </si>
  <si>
    <t>D&amp;A not related to PP&amp;E</t>
  </si>
  <si>
    <t xml:space="preserve">Depreciation &amp; Amortization - Total </t>
  </si>
  <si>
    <t>REVENUE BUILD BY SEGMENT (EGP)</t>
  </si>
  <si>
    <t>Check vs IS (row 16)</t>
  </si>
  <si>
    <t>WORKING CAPITAL SCHEDULE</t>
  </si>
  <si>
    <t>Operating Working Capital Assets</t>
  </si>
  <si>
    <t>Total Operating WC Assets</t>
  </si>
  <si>
    <t>Operating Working Capital Liabilities</t>
  </si>
  <si>
    <t>Total Operating WC Liabilities</t>
  </si>
  <si>
    <t>Net Working Capital</t>
  </si>
  <si>
    <t>NWC as % of revenue</t>
  </si>
  <si>
    <t>Change in NWC (− = cash used)</t>
  </si>
  <si>
    <t>DIO (days, off COGS)</t>
  </si>
  <si>
    <t>DSO (days, off revenue)</t>
  </si>
  <si>
    <t>DPO (days, off COGS)</t>
  </si>
  <si>
    <t>DEBT &amp; INTEREST SCHEDULE</t>
  </si>
  <si>
    <t>Total Debt</t>
  </si>
  <si>
    <t>Average debt</t>
  </si>
  <si>
    <t>Effective interest rate</t>
  </si>
  <si>
    <t>Interest income</t>
  </si>
  <si>
    <t>Interest-earning assets</t>
  </si>
  <si>
    <t>Average earning assets</t>
  </si>
  <si>
    <t>Effective yield</t>
  </si>
  <si>
    <t>Net finance costs</t>
  </si>
  <si>
    <t>EQUITY &amp; NCI ROLL-FORWARD</t>
  </si>
  <si>
    <t>Retained Earnings</t>
  </si>
  <si>
    <t>Less: Dividends &amp; distributions</t>
  </si>
  <si>
    <t>End of period (= BS)</t>
  </si>
  <si>
    <t>Additions % revenue</t>
  </si>
  <si>
    <t>LEASE SCHEDULE</t>
  </si>
  <si>
    <t>Lease liab — Beginning</t>
  </si>
  <si>
    <t>Additons</t>
  </si>
  <si>
    <t>Plus: Lease Interest Accrued</t>
  </si>
  <si>
    <t>Lease liab — End</t>
  </si>
  <si>
    <t>ST share of liability</t>
  </si>
  <si>
    <t>Additons leases % revenue</t>
  </si>
  <si>
    <t>Lease Interest Accrued % revenue</t>
  </si>
  <si>
    <t>Amortization % revenue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</si>
  <si>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</si>
  <si>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</si>
  <si>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</si>
  <si>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</si>
  <si>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</si>
  <si>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</si>
  <si>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</si>
  <si>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</si>
  <si>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</si>
  <si>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</si>
  <si>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</si>
  <si>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</si>
  <si>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</si>
  <si>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</si>
  <si>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WACC sensitivity to MRP and Beta</t>
  </si>
  <si>
    <t>Beta</t>
  </si>
  <si>
    <t>Market</t>
  </si>
  <si>
    <t>Risk</t>
  </si>
  <si>
    <t>Premium</t>
  </si>
  <si>
    <t>Select Beta for model</t>
  </si>
  <si>
    <t>Observed</t>
  </si>
  <si>
    <t>Industry beta</t>
  </si>
  <si>
    <t>Observed b</t>
  </si>
  <si>
    <t>Share price</t>
  </si>
  <si>
    <t>Dil. shares</t>
  </si>
  <si>
    <t>Market cap</t>
  </si>
  <si>
    <t>Net Debt</t>
  </si>
  <si>
    <t>Delev. b</t>
  </si>
  <si>
    <t>Industry average delevered beta</t>
  </si>
  <si>
    <t>Intangible assets</t>
  </si>
  <si>
    <t>Gross Profit</t>
  </si>
  <si>
    <t>Finance expense</t>
  </si>
  <si>
    <t>Additions</t>
  </si>
  <si>
    <t>Less: Amortization year</t>
  </si>
  <si>
    <t>Plus: Net income (Parent Share)</t>
  </si>
  <si>
    <t>Dividend payout ratio % of Net Income of Parent</t>
  </si>
  <si>
    <t>Non-controlling Interests</t>
  </si>
  <si>
    <t>Plus: NCI share of net income</t>
  </si>
  <si>
    <t>Less: Dividends Paid to NCI</t>
  </si>
  <si>
    <t>NCI share % of net income</t>
  </si>
  <si>
    <t>Lease payments</t>
  </si>
  <si>
    <t>Paid for intangible asset additions</t>
  </si>
  <si>
    <t>Comparable Companies Analysis (Trading Comps)</t>
  </si>
  <si>
    <t>Refresh date:</t>
  </si>
  <si>
    <t>GENERAL INFORMATION</t>
  </si>
  <si>
    <t>Company</t>
  </si>
  <si>
    <t>Exchange / Currency</t>
  </si>
  <si>
    <t>Fiscal year end</t>
  </si>
  <si>
    <t>Last closing price</t>
  </si>
  <si>
    <t>Price as of</t>
  </si>
  <si>
    <t>FULLY DILUTED SHARES</t>
  </si>
  <si>
    <t>Basic shares outstanding</t>
  </si>
  <si>
    <t>Options / RSUs / other dilution</t>
  </si>
  <si>
    <t>Fully diluted shares</t>
  </si>
  <si>
    <t>BALANCE SHEET DATA (latest reported)</t>
  </si>
  <si>
    <t>Total debt (incl. leases)</t>
  </si>
  <si>
    <t>Minority interest</t>
  </si>
  <si>
    <t>Cash + liquid investments</t>
  </si>
  <si>
    <t>Net debt / (net cash)</t>
  </si>
  <si>
    <t>MARKET VALUATION</t>
  </si>
  <si>
    <t>Market capitalization</t>
  </si>
  <si>
    <t>Enterprise value (EV)</t>
  </si>
  <si>
    <t>EBITDA margin</t>
  </si>
  <si>
    <t>TRADING MULTIPLES</t>
  </si>
  <si>
    <t>EV / Revenue (LTM)</t>
  </si>
  <si>
    <t>EV / EBITDA (LTM)</t>
  </si>
  <si>
    <t>EV / EBIT (LTM)</t>
  </si>
  <si>
    <t>P / E (LTM)</t>
  </si>
  <si>
    <t>EV/Revenue</t>
  </si>
  <si>
    <t>EV/EBITDA</t>
  </si>
  <si>
    <t>EV/EBIT</t>
  </si>
  <si>
    <t>P/E</t>
  </si>
  <si>
    <t>Mean</t>
  </si>
  <si>
    <t>Median</t>
  </si>
  <si>
    <t>IMPLIED VALUATION (from peer MEDIAN multiples)</t>
  </si>
  <si>
    <t>Via EV/EBITDA:</t>
  </si>
  <si>
    <t>Peer median EV/EBITDA</t>
  </si>
  <si>
    <t>x LTM EBITDA</t>
  </si>
  <si>
    <t>Implied Enterprise Value</t>
  </si>
  <si>
    <t>Less: net debt / plus net cash</t>
  </si>
  <si>
    <t>Implied equity value</t>
  </si>
  <si>
    <t>Implied value per share (EGP)</t>
  </si>
  <si>
    <t>Via P/E:</t>
  </si>
  <si>
    <t>Peer median P/E</t>
  </si>
  <si>
    <t>x LTM net income</t>
  </si>
  <si>
    <t>Via (closest Egyptian peer):</t>
  </si>
  <si>
    <t>Industry</t>
  </si>
  <si>
    <t>PEER STATISTICS</t>
  </si>
  <si>
    <t>LTM FINANCIALS</t>
  </si>
  <si>
    <t>Gourmet Egypt</t>
  </si>
  <si>
    <t>GOUR.CA</t>
  </si>
  <si>
    <t>Selling and Marketing Expenses</t>
  </si>
  <si>
    <t>General and Administrative Expenses</t>
  </si>
  <si>
    <t>Provisions Formed (other than depreciation)</t>
  </si>
  <si>
    <t>Provisions No Longer Required</t>
  </si>
  <si>
    <t>Inventory Write-down (ECL / Slow Moving)</t>
  </si>
  <si>
    <t>Reversal of Inventory Write-down</t>
  </si>
  <si>
    <t>Impairment of Assets Held for Sale</t>
  </si>
  <si>
    <t>Amortization of Intangible Assets</t>
  </si>
  <si>
    <t>Board Remuneration and Allowances</t>
  </si>
  <si>
    <t>Amortization of Right-of-Use Assets</t>
  </si>
  <si>
    <t>Expected Credit Loss (Trade &amp; Other Debtors)</t>
  </si>
  <si>
    <t>Net Foreign Exchange Gains / (Losses)</t>
  </si>
  <si>
    <t>Other Income / (Expenses) &amp; Capital Gains</t>
  </si>
  <si>
    <t>Income Tax Expense (Current)</t>
  </si>
  <si>
    <t>Deferred Tax (Expense) / Benefit</t>
  </si>
  <si>
    <t>Equity Holders of the Parent Company</t>
  </si>
  <si>
    <t>Non-Controlling Interest (NCI)</t>
  </si>
  <si>
    <t>Gross Revenue</t>
  </si>
  <si>
    <t>Cost of Goods Sold (COGS)</t>
  </si>
  <si>
    <t>Total Cash Operating Expenses (OpEx)</t>
  </si>
  <si>
    <t>OpEx Schedule</t>
  </si>
  <si>
    <t>Depreciation of Fixed Assets (PPE)</t>
  </si>
  <si>
    <t>Total D&amp;A</t>
  </si>
  <si>
    <t>Operating Profit (EBIT)</t>
  </si>
  <si>
    <t>Profit / (Loss) Before Tax (EBT)</t>
  </si>
  <si>
    <t>Net Profit / (Loss) for the Year</t>
  </si>
  <si>
    <t>Gross Product Sales</t>
  </si>
  <si>
    <t>Delivery Service Revenue</t>
  </si>
  <si>
    <t>Total Gross Revenue</t>
  </si>
  <si>
    <t>(Less) Customer Loyalty Points</t>
  </si>
  <si>
    <t>Net Revenue</t>
  </si>
  <si>
    <t>Property, Plant and Equipment (Net)</t>
  </si>
  <si>
    <t>Intangible Assets (Net)</t>
  </si>
  <si>
    <t>Right-of-Use Assets (Net)</t>
  </si>
  <si>
    <t>Deferred Tax Assets</t>
  </si>
  <si>
    <t>Projects Under Construction (CWIP)</t>
  </si>
  <si>
    <t>Goodwill</t>
  </si>
  <si>
    <t>Financial Assets at Amortized Cost (T-Bills)</t>
  </si>
  <si>
    <t>Inventories (Net)</t>
  </si>
  <si>
    <t>Trade and Notes Receivable (Net)</t>
  </si>
  <si>
    <t>Debtors and Other Debit Balances (Net)</t>
  </si>
  <si>
    <t>Due from Related Parties</t>
  </si>
  <si>
    <t>Cash and Cash Equivalents</t>
  </si>
  <si>
    <t>Paid-in Share Capital</t>
  </si>
  <si>
    <t>Legal Reserve</t>
  </si>
  <si>
    <t>Retained Earnings / (Accumulated Losses)</t>
  </si>
  <si>
    <t>Equity Attributable to Equity Holders of Parent</t>
  </si>
  <si>
    <t>Long-Term Loans (Non-Current Portion)</t>
  </si>
  <si>
    <t>Lease Liabilities (Non-Current Portion)</t>
  </si>
  <si>
    <t>Fixed Assets Purchase Creditors (Non-Current)</t>
  </si>
  <si>
    <t>Provisions</t>
  </si>
  <si>
    <t>Current Income Tax Liability</t>
  </si>
  <si>
    <t>Long-Term Loans (Current Portion)</t>
  </si>
  <si>
    <t>Lease Liabilities (Current Portion)</t>
  </si>
  <si>
    <t>Short-Term Borrowings &amp; Credit Facilities</t>
  </si>
  <si>
    <t>Trade and Notes Payable</t>
  </si>
  <si>
    <t>Due to Related Parties</t>
  </si>
  <si>
    <t>Creditors and Other Credit Balances</t>
  </si>
  <si>
    <t>Trade &amp; Notes Receivable (Net)</t>
  </si>
  <si>
    <t>Debtors &amp; Other Debit Balances</t>
  </si>
  <si>
    <t>Trade &amp; Notes Payable</t>
  </si>
  <si>
    <t>Creditors &amp; Other Credit Balances</t>
  </si>
  <si>
    <t>Turnover</t>
  </si>
  <si>
    <t>WC DRIVERS (DAYS) without using turnover method</t>
  </si>
  <si>
    <t>ROU</t>
  </si>
  <si>
    <t>Plus: Additions</t>
  </si>
  <si>
    <t>Less: ROU Amortization</t>
  </si>
  <si>
    <t>ROU Amortization % revenue</t>
  </si>
  <si>
    <t>ROU - End</t>
  </si>
  <si>
    <t>ROU - Beginning</t>
  </si>
  <si>
    <t>(Less) Total Lease Payments Made</t>
  </si>
  <si>
    <t>Depreciation and amortization</t>
  </si>
  <si>
    <t>Repayment of Fixed Asset Purchase Creditors</t>
  </si>
  <si>
    <t>Add back: non-cash lease interest</t>
  </si>
  <si>
    <t>Juhayna (JUFO.CA)</t>
  </si>
  <si>
    <t>Edita (EFID.CA)</t>
  </si>
  <si>
    <t>Spinneys (SPINNEYS.AE)</t>
  </si>
  <si>
    <t>BinDawood (4161.SR)</t>
  </si>
  <si>
    <t>JUFO.CA</t>
  </si>
  <si>
    <t>EFID.CA</t>
  </si>
  <si>
    <t>SPINNEYS.AE</t>
  </si>
  <si>
    <t>4161.SR</t>
  </si>
  <si>
    <t>Juhayna Food Industries</t>
  </si>
  <si>
    <t>Edita Food Industries</t>
  </si>
  <si>
    <t>Spinneys 1961 Holding</t>
  </si>
  <si>
    <t>BinDawood Holding</t>
  </si>
  <si>
    <t>EGX / EGP</t>
  </si>
  <si>
    <t>DFM / AED</t>
  </si>
  <si>
    <t>Tadawul / SAR</t>
  </si>
  <si>
    <t>Gourmet Egypt.com for Food S.A.E.</t>
  </si>
  <si>
    <t>Opening total debt (prior year-end)</t>
  </si>
  <si>
    <t>Opening book equity (prior year-end)</t>
  </si>
  <si>
    <t>Opening D/E</t>
  </si>
  <si>
    <t>Unlevered beta (selected on Build-Up tab - held constant)</t>
  </si>
  <si>
    <t>Relevered beta = βu × [1 + (1 - t) × D/E]</t>
  </si>
  <si>
    <t>RELEVERED BETA (D/E changes every year)</t>
  </si>
  <si>
    <t>Risk-free rate (EGP 10Y, held flat)</t>
  </si>
  <si>
    <t>Mature-market ERP (held flat)</t>
  </si>
  <si>
    <t>WEIGHTS AND WACC BY YEAR</t>
  </si>
  <si>
    <t>COST OF DEBT BY YEAR (each year's realised rate from the debt schedule)</t>
  </si>
  <si>
    <t>After-tax Kd(t)</t>
  </si>
  <si>
    <t>Pre-tax Kd(t) = interest expense(t) / average debt(t)</t>
  </si>
  <si>
    <t>WACC(t) = E-weight × Ke(t) + D-weight × Kd(t) × (1 - tax)</t>
  </si>
  <si>
    <t>Year-by-Year Cost of Equity and WACC</t>
  </si>
  <si>
    <t>CAPM</t>
  </si>
  <si>
    <t>Cost of equity Ke</t>
  </si>
  <si>
    <t>Lease Additons</t>
  </si>
  <si>
    <t>Tax payable as % of annual charge</t>
  </si>
  <si>
    <t>Dividends payable</t>
  </si>
  <si>
    <t>Fixed asset purchase creditors - current</t>
  </si>
  <si>
    <t>Plus:  New borrowing</t>
  </si>
  <si>
    <t>Less:  Scheduled repayment</t>
  </si>
  <si>
    <t>Repayment of medium-term loans</t>
  </si>
  <si>
    <t>Target Market Equity Weight</t>
  </si>
  <si>
    <t>Target Market Debt Weight</t>
  </si>
  <si>
    <t>Change in Current Income Tax Liability</t>
  </si>
  <si>
    <t>Normalised EBITDA</t>
  </si>
  <si>
    <t>Less: Disposals</t>
  </si>
  <si>
    <t>Disposals</t>
  </si>
  <si>
    <t>Lease Disposal</t>
  </si>
  <si>
    <t>Disposals % revenue</t>
  </si>
  <si>
    <t>ROU 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</si>
</sst>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7" formatCode="&quot;$&quot;#,##0.00_);\(&quot;$&quot;#,##0.00\)"/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(* #,##0_);_(* \(#,##0\);_(* \-_);_(@_)"/>
    <numFmt numFmtId="168" formatCode="_(* #,##0_);_(* \(#,##0\);_(* \-??_);_(@_)"/>
    <numFmt numFmtId="169" formatCode="&quot;FY&quot;yy"/>
    <numFmt numFmtId="170" formatCode="0\A;[Red]0\A"/>
    <numFmt numFmtId="171" formatCode="0\P_);\(0\P\)"/>
    <numFmt numFmtId="172" formatCode="m/d/yy;@"/>
    <numFmt numFmtId="173" formatCode="0.0%_);\(0.0%\);@_)"/>
    <numFmt numFmtId="174" formatCode="_(#,##0.0%_);\(#,##0.0%\);_(&quot;–&quot;_)_%;_(@_)_%"/>
    <numFmt numFmtId="175" formatCode="#,##0_);\(#,##0\);@_)"/>
    <numFmt numFmtId="176" formatCode="0000\P"/>
    <numFmt numFmtId="177" formatCode="0.0\x_);\(0.0\x\);@_)"/>
    <numFmt numFmtId="178" formatCode="0.000%_);\(0.000%\);@_)"/>
    <numFmt numFmtId="179" formatCode="#,##0.000_);\(#,##0.000\);@_)"/>
    <numFmt numFmtId="180" formatCode="#,##0.000_);\(#,##0.000\)"/>
    <numFmt numFmtId="181" formatCode="_([$$]#,##0_)_%;\([$$]#,##0\)_%;_(&quot;–&quot;_)_%;_(@_)_%"/>
    <numFmt numFmtId="182" formatCode="_(0.0_)_'_x;_(\(0.0\)_';_(&quot;–&quot;_)_%;_(@_)_%"/>
    <numFmt numFmtId="183" formatCode="#,##0.00_);\(#,##0.00\);\-_);@_)"/>
    <numFmt numFmtId="184" formatCode="#,##0.0_);\(#,##0.0\);\-_);@_)"/>
    <numFmt numFmtId="185" formatCode="_(#,##0.00%_);\(#,##0.00%\);_(&quot;–&quot;_)_%;_(@_)_%"/>
    <numFmt numFmtId="186" formatCode="&quot;$&quot;#,##0.00_);\(&quot;$&quot;#,##0.00\);@_)"/>
    <numFmt numFmtId="187" formatCode="0000\A"/>
    <numFmt numFmtId="188" formatCode="_(* #,##0.0_);_(* \(#,##0.0\);_(* \-??_);_(@_)"/>
    <numFmt numFmtId="189" formatCode="_(* #,##0_);_(* \(#,##0\);_(* &quot;-&quot;??_);_(@_)"/>
    <numFmt numFmtId="190" formatCode="d/m/yy;@"/>
    <numFmt numFmtId="191" formatCode="_(0.0\x_)_';_(\(0.0\x\)_';_(&quot;–&quot;_)_%;_(@_)_%"/>
    <numFmt numFmtId="192" formatCode="_(* #,##0.00_);_(* \(#,##0.00\);_(* \-??_);_(@_)"/>
    <numFmt numFmtId="193" formatCode="0.000"/>
    <numFmt numFmtId="194" formatCode="_-[$EGP]\ * #,##0.00_-;\-[$EGP]\ * #,##0.00_-;_-[$EGP]\ * &quot;-&quot;??_-;_-@_-"/>
    <numFmt numFmtId="195" formatCode="[$-409]mmmmm/yy;@"/>
    <numFmt numFmtId="196" formatCode="#,##0;\(#,##0\)"/>
    <numFmt numFmtId="197" formatCode="0.0&quot;x&quot;"/>
    <numFmt numFmtId="198" formatCode="0.0000%"/>
    <numFmt numFmtId="199" formatCode="0\x"/>
    <numFmt numFmtId="200" formatCode="0.0%;\(0.0%\);\-"/>
    <numFmt numFmtId="201" formatCode="_([$EGP]\ * #,##0.00_);_([$EGP]\ * \(#,##0.00\);_([$EGP]\ * &quot;-&quot;??_);_(@_)"/>
    <numFmt numFmtId="202" formatCode="_([$$-409]* #,##0.00_);_([$$-409]* \(#,##0.00\);_([$$-409]* &quot;-&quot;??_);_(@_)"/>
    <numFmt numFmtId="203" formatCode="_-* #,##0.00\ [$ج.م.‏-C01]_-;\-* #,##0.00\ [$ج.م.‏-C01]_-;_-* &quot;-&quot;??\ [$ج.م.‏-C01]_-;_-@_-"/>
  </numFmts>
  <fonts count="4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charset val="1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  <font>
      <b/>
      <i/>
      <sz val="11"/>
      <color theme="1"/>
      <name val="Calibri"/>
      <family val="2"/>
    </font>
    <font>
      <i/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b/>
      <i/>
      <sz val="11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sz val="11"/>
      <name val="Calibri"/>
      <family val="2"/>
      <charset val="1"/>
    </font>
    <font>
      <i/>
      <sz val="11"/>
      <color theme="4" tint="-0.249977111117893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DAF8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auto="1"/>
      </top>
      <bottom/>
      <diagonal/>
    </border>
  </borders>
  <cellStyleXfs count="8">
    <xf numFmtId="0" fontId="0" fillId="0" borderId="0"/>
    <xf numFmtId="192" fontId="10" fillId="0" borderId="0"/>
    <xf numFmtId="9" fontId="10" fillId="0" borderId="0"/>
    <xf numFmtId="0" fontId="9" fillId="0" borderId="0"/>
    <xf numFmtId="37" fontId="25" fillId="0" borderId="0"/>
    <xf numFmtId="0" fontId="27" fillId="0" borderId="0"/>
    <xf numFmtId="195" fontId="36" fillId="0" borderId="0"/>
    <xf numFmtId="0" fontId="4" fillId="0" borderId="0"/>
  </cellStyleXfs>
  <cellXfs count="362">
    <xf numFmtId="0" fontId="0" fillId="0" borderId="0" xfId="0"/>
    <xf numFmtId="166" fontId="10" fillId="0" borderId="0" xfId="2" applyNumberFormat="1"/>
    <xf numFmtId="0" fontId="11" fillId="0" borderId="4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  <xf numFmtId="167" fontId="18" fillId="0" borderId="0" xfId="1" applyNumberFormat="1" applyFont="1"/>
    <xf numFmtId="0" fontId="19" fillId="0" borderId="1" xfId="0" applyFont="1" applyBorder="1"/>
    <xf numFmtId="168" fontId="19" fillId="0" borderId="1" xfId="1" applyNumberFormat="1" applyFont="1" applyBorder="1"/>
    <xf numFmtId="0" fontId="19" fillId="0" borderId="0" xfId="0" applyFont="1"/>
    <xf numFmtId="168" fontId="19" fillId="0" borderId="0" xfId="1" applyNumberFormat="1" applyFont="1"/>
    <xf numFmtId="166" fontId="15" fillId="0" borderId="0" xfId="2" applyNumberFormat="1" applyFont="1"/>
    <xf numFmtId="0" fontId="19" fillId="0" borderId="3" xfId="0" applyFont="1" applyBorder="1"/>
    <xf numFmtId="0" fontId="14" fillId="0" borderId="0" xfId="0" applyFont="1" applyAlignment="1">
      <alignment horizontal="left" indent="1"/>
    </xf>
    <xf numFmtId="168" fontId="14" fillId="0" borderId="0" xfId="0" applyNumberFormat="1" applyFont="1"/>
    <xf numFmtId="168" fontId="14" fillId="0" borderId="0" xfId="1" applyNumberFormat="1" applyFont="1"/>
    <xf numFmtId="0" fontId="21" fillId="0" borderId="2" xfId="0" applyFont="1" applyBorder="1"/>
    <xf numFmtId="168" fontId="19" fillId="0" borderId="2" xfId="1" applyNumberFormat="1" applyFont="1" applyBorder="1"/>
    <xf numFmtId="166" fontId="14" fillId="0" borderId="0" xfId="2" applyNumberFormat="1" applyFont="1"/>
    <xf numFmtId="1" fontId="14" fillId="0" borderId="0" xfId="2" applyNumberFormat="1" applyFont="1"/>
    <xf numFmtId="0" fontId="17" fillId="0" borderId="0" xfId="0" applyFont="1" applyAlignment="1">
      <alignment horizontal="left" indent="1"/>
    </xf>
    <xf numFmtId="168" fontId="19" fillId="0" borderId="0" xfId="0" applyNumberFormat="1" applyFont="1"/>
    <xf numFmtId="0" fontId="19" fillId="0" borderId="1" xfId="0" applyFont="1" applyBorder="1" applyAlignment="1">
      <alignment horizontal="left"/>
    </xf>
    <xf numFmtId="167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indent="2"/>
    </xf>
    <xf numFmtId="167" fontId="20" fillId="0" borderId="3" xfId="1" applyNumberFormat="1" applyFont="1" applyBorder="1"/>
    <xf numFmtId="0" fontId="22" fillId="0" borderId="0" xfId="0" applyFont="1"/>
    <xf numFmtId="0" fontId="16" fillId="0" borderId="0" xfId="0" applyFont="1"/>
    <xf numFmtId="0" fontId="22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0" fontId="17" fillId="0" borderId="0" xfId="0" applyFont="1"/>
    <xf numFmtId="10" fontId="14" fillId="0" borderId="0" xfId="2" applyNumberFormat="1" applyFont="1"/>
    <xf numFmtId="0" fontId="19" fillId="0" borderId="3" xfId="0" applyFont="1" applyBorder="1" applyAlignment="1">
      <alignment horizontal="left"/>
    </xf>
    <xf numFmtId="0" fontId="11" fillId="0" borderId="6" xfId="0" applyFont="1" applyBorder="1"/>
    <xf numFmtId="0" fontId="0" fillId="0" borderId="6" xfId="0" applyBorder="1"/>
    <xf numFmtId="170" fontId="11" fillId="0" borderId="0" xfId="0" applyNumberFormat="1" applyFont="1"/>
    <xf numFmtId="171" fontId="11" fillId="0" borderId="0" xfId="0" applyNumberFormat="1" applyFont="1"/>
    <xf numFmtId="0" fontId="23" fillId="0" borderId="6" xfId="0" applyFont="1" applyBorder="1"/>
    <xf numFmtId="172" fontId="23" fillId="0" borderId="2" xfId="0" applyNumberFormat="1" applyFont="1" applyBorder="1"/>
    <xf numFmtId="0" fontId="20" fillId="0" borderId="0" xfId="0" applyFont="1"/>
    <xf numFmtId="172" fontId="23" fillId="0" borderId="6" xfId="0" applyNumberFormat="1" applyFont="1" applyBorder="1"/>
    <xf numFmtId="169" fontId="20" fillId="0" borderId="0" xfId="0" applyNumberFormat="1" applyFont="1" applyAlignment="1">
      <alignment horizontal="center" vertical="center"/>
    </xf>
    <xf numFmtId="0" fontId="0" fillId="0" borderId="3" xfId="0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0" fontId="9" fillId="0" borderId="0" xfId="3"/>
    <xf numFmtId="0" fontId="11" fillId="0" borderId="4" xfId="3" applyFont="1" applyBorder="1"/>
    <xf numFmtId="0" fontId="9" fillId="0" borderId="4" xfId="3" applyBorder="1"/>
    <xf numFmtId="0" fontId="24" fillId="0" borderId="5" xfId="3" applyFont="1" applyBorder="1"/>
    <xf numFmtId="14" fontId="13" fillId="0" borderId="0" xfId="4" applyNumberFormat="1" applyFont="1" applyAlignment="1">
      <alignment horizontal="right"/>
    </xf>
    <xf numFmtId="173" fontId="26" fillId="0" borderId="0" xfId="3" applyNumberFormat="1" applyFont="1"/>
    <xf numFmtId="14" fontId="12" fillId="0" borderId="0" xfId="4" applyNumberFormat="1" applyFont="1" applyAlignment="1">
      <alignment horizontal="right"/>
    </xf>
    <xf numFmtId="14" fontId="13" fillId="0" borderId="0" xfId="3" applyNumberFormat="1" applyFont="1" applyAlignment="1">
      <alignment horizontal="right"/>
    </xf>
    <xf numFmtId="0" fontId="27" fillId="0" borderId="0" xfId="5"/>
    <xf numFmtId="174" fontId="12" fillId="0" borderId="0" xfId="3" applyNumberFormat="1" applyFont="1"/>
    <xf numFmtId="7" fontId="26" fillId="0" borderId="0" xfId="3" applyNumberFormat="1" applyFont="1" applyAlignment="1">
      <alignment horizontal="right"/>
    </xf>
    <xf numFmtId="0" fontId="11" fillId="0" borderId="7" xfId="3" applyFont="1" applyBorder="1"/>
    <xf numFmtId="0" fontId="9" fillId="0" borderId="7" xfId="3" applyBorder="1"/>
    <xf numFmtId="7" fontId="26" fillId="0" borderId="7" xfId="3" applyNumberFormat="1" applyFont="1" applyBorder="1" applyAlignment="1">
      <alignment horizontal="right"/>
    </xf>
    <xf numFmtId="0" fontId="28" fillId="0" borderId="0" xfId="3" applyFont="1" applyAlignment="1">
      <alignment horizontal="centerContinuous"/>
    </xf>
    <xf numFmtId="0" fontId="29" fillId="0" borderId="8" xfId="3" applyFont="1" applyBorder="1" applyAlignment="1">
      <alignment horizontal="centerContinuous"/>
    </xf>
    <xf numFmtId="0" fontId="23" fillId="0" borderId="0" xfId="3" applyFont="1"/>
    <xf numFmtId="14" fontId="9" fillId="0" borderId="0" xfId="3" applyNumberFormat="1" applyAlignment="1">
      <alignment horizontal="center"/>
    </xf>
    <xf numFmtId="175" fontId="12" fillId="0" borderId="0" xfId="3" applyNumberFormat="1" applyFont="1"/>
    <xf numFmtId="175" fontId="26" fillId="0" borderId="0" xfId="3" applyNumberFormat="1" applyFont="1"/>
    <xf numFmtId="0" fontId="9" fillId="0" borderId="0" xfId="3" applyAlignment="1">
      <alignment horizontal="left" indent="1"/>
    </xf>
    <xf numFmtId="0" fontId="11" fillId="0" borderId="0" xfId="3" applyFont="1"/>
    <xf numFmtId="175" fontId="30" fillId="0" borderId="0" xfId="3" applyNumberFormat="1" applyFont="1"/>
    <xf numFmtId="175" fontId="9" fillId="0" borderId="0" xfId="3" applyNumberFormat="1"/>
    <xf numFmtId="37" fontId="12" fillId="0" borderId="0" xfId="3" applyNumberFormat="1" applyFont="1"/>
    <xf numFmtId="175" fontId="26" fillId="0" borderId="7" xfId="3" applyNumberFormat="1" applyFont="1" applyBorder="1"/>
    <xf numFmtId="175" fontId="29" fillId="0" borderId="7" xfId="3" applyNumberFormat="1" applyFont="1" applyBorder="1" applyAlignment="1">
      <alignment horizontal="center"/>
    </xf>
    <xf numFmtId="175" fontId="29" fillId="0" borderId="0" xfId="3" applyNumberFormat="1" applyFont="1"/>
    <xf numFmtId="14" fontId="9" fillId="0" borderId="0" xfId="3" applyNumberFormat="1"/>
    <xf numFmtId="174" fontId="9" fillId="0" borderId="0" xfId="3" applyNumberFormat="1" applyAlignment="1">
      <alignment horizontal="center"/>
    </xf>
    <xf numFmtId="175" fontId="12" fillId="0" borderId="7" xfId="3" applyNumberFormat="1" applyFont="1" applyBorder="1"/>
    <xf numFmtId="0" fontId="30" fillId="0" borderId="0" xfId="3" applyFont="1"/>
    <xf numFmtId="174" fontId="13" fillId="0" borderId="0" xfId="3" applyNumberFormat="1" applyFont="1"/>
    <xf numFmtId="176" fontId="9" fillId="0" borderId="0" xfId="3" applyNumberFormat="1"/>
    <xf numFmtId="177" fontId="13" fillId="0" borderId="0" xfId="3" applyNumberFormat="1" applyFont="1"/>
    <xf numFmtId="175" fontId="11" fillId="0" borderId="0" xfId="3" applyNumberFormat="1" applyFont="1"/>
    <xf numFmtId="0" fontId="23" fillId="0" borderId="0" xfId="3" applyFont="1" applyAlignment="1">
      <alignment horizontal="left"/>
    </xf>
    <xf numFmtId="174" fontId="23" fillId="0" borderId="0" xfId="3" applyNumberFormat="1" applyFont="1"/>
    <xf numFmtId="178" fontId="23" fillId="0" borderId="0" xfId="3" applyNumberFormat="1" applyFont="1"/>
    <xf numFmtId="174" fontId="9" fillId="0" borderId="0" xfId="3" applyNumberFormat="1"/>
    <xf numFmtId="177" fontId="23" fillId="0" borderId="0" xfId="3" applyNumberFormat="1" applyFont="1"/>
    <xf numFmtId="173" fontId="9" fillId="0" borderId="0" xfId="3" quotePrefix="1" applyNumberFormat="1"/>
    <xf numFmtId="0" fontId="9" fillId="0" borderId="0" xfId="3" applyAlignment="1">
      <alignment horizontal="left"/>
    </xf>
    <xf numFmtId="0" fontId="31" fillId="0" borderId="0" xfId="3" applyFont="1"/>
    <xf numFmtId="0" fontId="31" fillId="0" borderId="0" xfId="3" applyFont="1" applyAlignment="1">
      <alignment horizontal="right"/>
    </xf>
    <xf numFmtId="0" fontId="31" fillId="0" borderId="0" xfId="3" applyFont="1" applyAlignment="1">
      <alignment horizontal="left" vertical="center"/>
    </xf>
    <xf numFmtId="14" fontId="12" fillId="0" borderId="0" xfId="3" applyNumberFormat="1" applyFont="1"/>
    <xf numFmtId="179" fontId="13" fillId="0" borderId="0" xfId="3" applyNumberFormat="1" applyFont="1"/>
    <xf numFmtId="180" fontId="13" fillId="0" borderId="0" xfId="3" applyNumberFormat="1" applyFont="1"/>
    <xf numFmtId="37" fontId="26" fillId="0" borderId="0" xfId="3" applyNumberFormat="1" applyFont="1"/>
    <xf numFmtId="0" fontId="12" fillId="0" borderId="0" xfId="3" applyFont="1" applyAlignment="1">
      <alignment horizontal="left" indent="1"/>
    </xf>
    <xf numFmtId="0" fontId="11" fillId="0" borderId="0" xfId="3" applyFont="1" applyAlignment="1">
      <alignment horizontal="left"/>
    </xf>
    <xf numFmtId="181" fontId="13" fillId="0" borderId="0" xfId="3" applyNumberFormat="1" applyFont="1"/>
    <xf numFmtId="0" fontId="9" fillId="0" borderId="0" xfId="3" applyAlignment="1">
      <alignment horizontal="left" vertical="center" indent="1"/>
    </xf>
    <xf numFmtId="180" fontId="9" fillId="0" borderId="0" xfId="3" applyNumberFormat="1"/>
    <xf numFmtId="179" fontId="32" fillId="0" borderId="0" xfId="3" applyNumberFormat="1" applyFont="1"/>
    <xf numFmtId="0" fontId="11" fillId="0" borderId="0" xfId="3" applyFont="1" applyAlignment="1">
      <alignment vertical="center"/>
    </xf>
    <xf numFmtId="0" fontId="28" fillId="0" borderId="0" xfId="3" applyFont="1" applyAlignment="1">
      <alignment horizontal="right"/>
    </xf>
    <xf numFmtId="175" fontId="9" fillId="0" borderId="0" xfId="3" applyNumberFormat="1" applyAlignment="1">
      <alignment horizontal="right"/>
    </xf>
    <xf numFmtId="37" fontId="23" fillId="0" borderId="7" xfId="3" applyNumberFormat="1" applyFont="1" applyBorder="1" applyAlignment="1">
      <alignment horizontal="right"/>
    </xf>
    <xf numFmtId="37" fontId="9" fillId="0" borderId="0" xfId="3" applyNumberFormat="1" applyAlignment="1">
      <alignment horizontal="right"/>
    </xf>
    <xf numFmtId="182" fontId="9" fillId="0" borderId="0" xfId="3" applyNumberFormat="1" applyAlignment="1">
      <alignment horizontal="right"/>
    </xf>
    <xf numFmtId="0" fontId="12" fillId="2" borderId="0" xfId="3" applyFont="1" applyFill="1"/>
    <xf numFmtId="0" fontId="33" fillId="0" borderId="0" xfId="3" applyFont="1" applyAlignment="1">
      <alignment horizontal="centerContinuous"/>
    </xf>
    <xf numFmtId="0" fontId="28" fillId="0" borderId="9" xfId="3" applyFont="1" applyBorder="1" applyAlignment="1">
      <alignment horizontal="centerContinuous"/>
    </xf>
    <xf numFmtId="0" fontId="9" fillId="0" borderId="0" xfId="3" applyAlignment="1">
      <alignment horizontal="centerContinuous"/>
    </xf>
    <xf numFmtId="0" fontId="9" fillId="0" borderId="9" xfId="3" applyBorder="1" applyAlignment="1">
      <alignment horizontal="centerContinuous"/>
    </xf>
    <xf numFmtId="0" fontId="9" fillId="0" borderId="0" xfId="3" applyAlignment="1">
      <alignment horizontal="right"/>
    </xf>
    <xf numFmtId="166" fontId="13" fillId="3" borderId="11" xfId="3" applyNumberFormat="1" applyFont="1" applyFill="1" applyBorder="1"/>
    <xf numFmtId="177" fontId="9" fillId="0" borderId="12" xfId="3" applyNumberFormat="1" applyBorder="1" applyAlignment="1">
      <alignment horizontal="right"/>
    </xf>
    <xf numFmtId="183" fontId="9" fillId="0" borderId="0" xfId="3" applyNumberFormat="1"/>
    <xf numFmtId="183" fontId="9" fillId="0" borderId="9" xfId="3" applyNumberFormat="1" applyBorder="1"/>
    <xf numFmtId="177" fontId="9" fillId="0" borderId="0" xfId="3" applyNumberFormat="1" applyAlignment="1">
      <alignment horizontal="right"/>
    </xf>
    <xf numFmtId="166" fontId="13" fillId="3" borderId="14" xfId="3" applyNumberFormat="1" applyFont="1" applyFill="1" applyBorder="1" applyAlignment="1">
      <alignment horizontal="right"/>
    </xf>
    <xf numFmtId="0" fontId="30" fillId="2" borderId="0" xfId="3" applyFont="1" applyFill="1" applyAlignment="1">
      <alignment horizontal="center"/>
    </xf>
    <xf numFmtId="184" fontId="9" fillId="0" borderId="0" xfId="3" applyNumberFormat="1"/>
    <xf numFmtId="177" fontId="13" fillId="3" borderId="11" xfId="3" applyNumberFormat="1" applyFont="1" applyFill="1" applyBorder="1"/>
    <xf numFmtId="0" fontId="9" fillId="0" borderId="9" xfId="3" applyBorder="1"/>
    <xf numFmtId="0" fontId="11" fillId="4" borderId="0" xfId="3" applyFont="1" applyFill="1"/>
    <xf numFmtId="0" fontId="11" fillId="4" borderId="9" xfId="3" applyFont="1" applyFill="1" applyBorder="1"/>
    <xf numFmtId="185" fontId="9" fillId="0" borderId="0" xfId="3" applyNumberFormat="1"/>
    <xf numFmtId="0" fontId="9" fillId="0" borderId="10" xfId="3" applyBorder="1"/>
    <xf numFmtId="0" fontId="9" fillId="0" borderId="11" xfId="3" applyBorder="1" applyAlignment="1">
      <alignment horizontal="right"/>
    </xf>
    <xf numFmtId="0" fontId="9" fillId="0" borderId="13" xfId="3" applyBorder="1" applyAlignment="1">
      <alignment horizontal="right"/>
    </xf>
    <xf numFmtId="0" fontId="9" fillId="0" borderId="11" xfId="3" applyBorder="1"/>
    <xf numFmtId="0" fontId="9" fillId="0" borderId="15" xfId="3" applyBorder="1"/>
    <xf numFmtId="174" fontId="12" fillId="0" borderId="0" xfId="0" applyNumberFormat="1" applyFont="1"/>
    <xf numFmtId="0" fontId="30" fillId="0" borderId="7" xfId="3" applyFont="1" applyBorder="1"/>
    <xf numFmtId="0" fontId="12" fillId="0" borderId="7" xfId="3" applyFont="1" applyBorder="1"/>
    <xf numFmtId="0" fontId="30" fillId="0" borderId="7" xfId="3" applyFont="1" applyBorder="1" applyAlignment="1">
      <alignment horizontal="right"/>
    </xf>
    <xf numFmtId="0" fontId="31" fillId="0" borderId="0" xfId="3" applyFont="1" applyAlignment="1">
      <alignment horizontal="left"/>
    </xf>
    <xf numFmtId="0" fontId="11" fillId="0" borderId="6" xfId="3" applyFont="1" applyBorder="1"/>
    <xf numFmtId="0" fontId="11" fillId="0" borderId="10" xfId="3" applyFont="1" applyBorder="1"/>
    <xf numFmtId="185" fontId="12" fillId="0" borderId="0" xfId="3" applyNumberFormat="1" applyFont="1"/>
    <xf numFmtId="10" fontId="13" fillId="0" borderId="7" xfId="3" applyNumberFormat="1" applyFont="1" applyBorder="1"/>
    <xf numFmtId="10" fontId="12" fillId="0" borderId="0" xfId="3" applyNumberFormat="1" applyFont="1"/>
    <xf numFmtId="166" fontId="12" fillId="0" borderId="0" xfId="3" applyNumberFormat="1" applyFont="1"/>
    <xf numFmtId="0" fontId="9" fillId="0" borderId="6" xfId="3" applyBorder="1"/>
    <xf numFmtId="166" fontId="29" fillId="0" borderId="0" xfId="3" applyNumberFormat="1" applyFont="1" applyAlignment="1">
      <alignment horizontal="right"/>
    </xf>
    <xf numFmtId="9" fontId="13" fillId="0" borderId="0" xfId="3" applyNumberFormat="1" applyFont="1"/>
    <xf numFmtId="173" fontId="9" fillId="0" borderId="0" xfId="3" applyNumberFormat="1"/>
    <xf numFmtId="9" fontId="12" fillId="0" borderId="0" xfId="3" applyNumberFormat="1" applyFont="1"/>
    <xf numFmtId="0" fontId="11" fillId="0" borderId="11" xfId="3" applyFont="1" applyBorder="1"/>
    <xf numFmtId="173" fontId="11" fillId="0" borderId="13" xfId="3" applyNumberFormat="1" applyFont="1" applyBorder="1"/>
    <xf numFmtId="175" fontId="12" fillId="0" borderId="0" xfId="0" applyNumberFormat="1" applyFont="1"/>
    <xf numFmtId="14" fontId="0" fillId="0" borderId="0" xfId="0" applyNumberFormat="1"/>
    <xf numFmtId="167" fontId="20" fillId="0" borderId="0" xfId="1" applyNumberFormat="1" applyFont="1"/>
    <xf numFmtId="167" fontId="19" fillId="0" borderId="0" xfId="0" applyNumberFormat="1" applyFont="1"/>
    <xf numFmtId="186" fontId="0" fillId="0" borderId="6" xfId="0" applyNumberFormat="1" applyBorder="1" applyAlignment="1">
      <alignment horizontal="right"/>
    </xf>
    <xf numFmtId="186" fontId="0" fillId="0" borderId="12" xfId="0" applyNumberFormat="1" applyBorder="1"/>
    <xf numFmtId="177" fontId="34" fillId="3" borderId="11" xfId="3" applyNumberFormat="1" applyFont="1" applyFill="1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0" fontId="0" fillId="0" borderId="16" xfId="0" applyBorder="1"/>
    <xf numFmtId="0" fontId="0" fillId="0" borderId="18" xfId="0" applyBorder="1"/>
    <xf numFmtId="39" fontId="0" fillId="0" borderId="6" xfId="0" applyNumberFormat="1" applyBorder="1"/>
    <xf numFmtId="39" fontId="12" fillId="0" borderId="6" xfId="0" applyNumberFormat="1" applyFont="1" applyBorder="1"/>
    <xf numFmtId="39" fontId="0" fillId="0" borderId="12" xfId="0" applyNumberFormat="1" applyBorder="1"/>
    <xf numFmtId="0" fontId="0" fillId="0" borderId="9" xfId="0" applyBorder="1"/>
    <xf numFmtId="39" fontId="12" fillId="0" borderId="0" xfId="0" applyNumberFormat="1" applyFont="1"/>
    <xf numFmtId="39" fontId="12" fillId="0" borderId="17" xfId="0" applyNumberFormat="1" applyFont="1" applyBorder="1"/>
    <xf numFmtId="0" fontId="0" fillId="0" borderId="19" xfId="0" applyBorder="1"/>
    <xf numFmtId="39" fontId="12" fillId="0" borderId="12" xfId="0" applyNumberFormat="1" applyFont="1" applyBorder="1"/>
    <xf numFmtId="187" fontId="11" fillId="0" borderId="20" xfId="3" applyNumberFormat="1" applyFont="1" applyBorder="1"/>
    <xf numFmtId="175" fontId="26" fillId="0" borderId="21" xfId="3" applyNumberFormat="1" applyFont="1" applyBorder="1"/>
    <xf numFmtId="9" fontId="10" fillId="0" borderId="21" xfId="2" applyBorder="1"/>
    <xf numFmtId="175" fontId="12" fillId="0" borderId="21" xfId="3" applyNumberFormat="1" applyFont="1" applyBorder="1"/>
    <xf numFmtId="173" fontId="26" fillId="0" borderId="21" xfId="3" applyNumberFormat="1" applyFont="1" applyBorder="1"/>
    <xf numFmtId="175" fontId="30" fillId="0" borderId="22" xfId="3" applyNumberFormat="1" applyFont="1" applyBorder="1"/>
    <xf numFmtId="176" fontId="11" fillId="0" borderId="23" xfId="3" applyNumberFormat="1" applyFont="1" applyBorder="1"/>
    <xf numFmtId="176" fontId="11" fillId="0" borderId="20" xfId="3" applyNumberFormat="1" applyFont="1" applyBorder="1"/>
    <xf numFmtId="14" fontId="24" fillId="0" borderId="5" xfId="3" applyNumberFormat="1" applyFont="1" applyBorder="1"/>
    <xf numFmtId="168" fontId="10" fillId="0" borderId="0" xfId="1" applyNumberFormat="1"/>
    <xf numFmtId="167" fontId="0" fillId="0" borderId="0" xfId="0" applyNumberFormat="1"/>
    <xf numFmtId="168" fontId="35" fillId="0" borderId="0" xfId="1" applyNumberFormat="1" applyFont="1"/>
    <xf numFmtId="175" fontId="13" fillId="0" borderId="0" xfId="3" applyNumberFormat="1" applyFont="1"/>
    <xf numFmtId="3" fontId="11" fillId="0" borderId="0" xfId="3" applyNumberFormat="1" applyFont="1"/>
    <xf numFmtId="14" fontId="13" fillId="0" borderId="0" xfId="3" applyNumberFormat="1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166" fontId="12" fillId="3" borderId="14" xfId="0" applyNumberFormat="1" applyFont="1" applyFill="1" applyBorder="1" applyAlignment="1">
      <alignment horizontal="right"/>
    </xf>
    <xf numFmtId="166" fontId="12" fillId="3" borderId="24" xfId="0" applyNumberFormat="1" applyFont="1" applyFill="1" applyBorder="1" applyAlignment="1">
      <alignment horizontal="right"/>
    </xf>
    <xf numFmtId="166" fontId="12" fillId="3" borderId="10" xfId="0" applyNumberFormat="1" applyFont="1" applyFill="1" applyBorder="1"/>
    <xf numFmtId="166" fontId="12" fillId="3" borderId="11" xfId="0" applyNumberFormat="1" applyFont="1" applyFill="1" applyBorder="1"/>
    <xf numFmtId="188" fontId="10" fillId="0" borderId="0" xfId="1" applyNumberFormat="1"/>
    <xf numFmtId="0" fontId="19" fillId="0" borderId="0" xfId="0" applyFont="1" applyAlignment="1">
      <alignment horizontal="left"/>
    </xf>
    <xf numFmtId="189" fontId="18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64" fontId="17" fillId="0" borderId="0" xfId="1" applyNumberFormat="1" applyFont="1"/>
    <xf numFmtId="164" fontId="14" fillId="0" borderId="0" xfId="0" applyNumberFormat="1" applyFont="1" applyAlignment="1">
      <alignment horizontal="center" vertical="center"/>
    </xf>
    <xf numFmtId="164" fontId="14" fillId="0" borderId="0" xfId="0" applyNumberFormat="1" applyFont="1"/>
    <xf numFmtId="164" fontId="20" fillId="0" borderId="0" xfId="1" applyNumberFormat="1" applyFont="1"/>
    <xf numFmtId="164" fontId="19" fillId="0" borderId="0" xfId="1" applyNumberFormat="1" applyFont="1"/>
    <xf numFmtId="164" fontId="17" fillId="0" borderId="0" xfId="0" applyNumberFormat="1" applyFont="1"/>
    <xf numFmtId="164" fontId="20" fillId="0" borderId="0" xfId="0" applyNumberFormat="1" applyFont="1" applyAlignment="1">
      <alignment horizontal="center" vertical="center"/>
    </xf>
    <xf numFmtId="9" fontId="10" fillId="0" borderId="0" xfId="2"/>
    <xf numFmtId="9" fontId="35" fillId="0" borderId="0" xfId="2" applyFont="1"/>
    <xf numFmtId="166" fontId="17" fillId="0" borderId="3" xfId="2" applyNumberFormat="1" applyFont="1" applyBorder="1"/>
    <xf numFmtId="166" fontId="12" fillId="0" borderId="0" xfId="0" applyNumberFormat="1" applyFont="1"/>
    <xf numFmtId="166" fontId="35" fillId="0" borderId="0" xfId="2" applyNumberFormat="1" applyFont="1"/>
    <xf numFmtId="167" fontId="19" fillId="0" borderId="0" xfId="0" applyNumberFormat="1" applyFont="1" applyAlignment="1">
      <alignment horizontal="center" vertical="center"/>
    </xf>
    <xf numFmtId="0" fontId="8" fillId="0" borderId="0" xfId="3" applyFont="1"/>
    <xf numFmtId="37" fontId="8" fillId="0" borderId="0" xfId="3" applyNumberFormat="1" applyFont="1" applyAlignment="1">
      <alignment horizontal="right"/>
    </xf>
    <xf numFmtId="168" fontId="19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68" fontId="20" fillId="0" borderId="0" xfId="1" applyNumberFormat="1" applyFont="1"/>
    <xf numFmtId="173" fontId="0" fillId="0" borderId="0" xfId="0" quotePrefix="1" applyNumberFormat="1"/>
    <xf numFmtId="166" fontId="12" fillId="3" borderId="25" xfId="0" applyNumberFormat="1" applyFont="1" applyFill="1" applyBorder="1"/>
    <xf numFmtId="177" fontId="12" fillId="0" borderId="0" xfId="3" applyNumberFormat="1" applyFont="1"/>
    <xf numFmtId="177" fontId="34" fillId="3" borderId="25" xfId="3" applyNumberFormat="1" applyFont="1" applyFill="1" applyBorder="1"/>
    <xf numFmtId="0" fontId="11" fillId="0" borderId="0" xfId="0" applyFont="1"/>
    <xf numFmtId="164" fontId="23" fillId="0" borderId="0" xfId="0" applyNumberFormat="1" applyFont="1"/>
    <xf numFmtId="166" fontId="14" fillId="0" borderId="0" xfId="2" applyNumberFormat="1" applyFont="1" applyAlignment="1">
      <alignment horizontal="left"/>
    </xf>
    <xf numFmtId="0" fontId="14" fillId="0" borderId="0" xfId="0" applyFont="1" applyAlignment="1">
      <alignment horizontal="left"/>
    </xf>
    <xf numFmtId="190" fontId="23" fillId="0" borderId="2" xfId="0" applyNumberFormat="1" applyFont="1" applyBorder="1"/>
    <xf numFmtId="190" fontId="7" fillId="0" borderId="2" xfId="0" applyNumberFormat="1" applyFont="1" applyBorder="1" applyAlignment="1">
      <alignment horizontal="center"/>
    </xf>
    <xf numFmtId="167" fontId="19" fillId="0" borderId="3" xfId="0" applyNumberFormat="1" applyFont="1" applyBorder="1" applyAlignment="1">
      <alignment horizontal="center" vertical="center"/>
    </xf>
    <xf numFmtId="14" fontId="24" fillId="0" borderId="0" xfId="0" applyNumberFormat="1" applyFont="1" applyAlignment="1">
      <alignment horizontal="left"/>
    </xf>
    <xf numFmtId="167" fontId="18" fillId="0" borderId="0" xfId="0" applyNumberFormat="1" applyFont="1"/>
    <xf numFmtId="191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168" fontId="18" fillId="0" borderId="0" xfId="1" applyNumberFormat="1" applyFont="1"/>
    <xf numFmtId="1" fontId="14" fillId="0" borderId="0" xfId="0" applyNumberFormat="1" applyFont="1"/>
    <xf numFmtId="1" fontId="14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center"/>
    </xf>
    <xf numFmtId="166" fontId="18" fillId="0" borderId="0" xfId="2" applyNumberFormat="1" applyFont="1"/>
    <xf numFmtId="168" fontId="38" fillId="0" borderId="0" xfId="1" applyNumberFormat="1" applyFont="1" applyAlignment="1">
      <alignment horizontal="center" vertical="center"/>
    </xf>
    <xf numFmtId="0" fontId="14" fillId="0" borderId="6" xfId="0" applyFont="1" applyBorder="1"/>
    <xf numFmtId="190" fontId="6" fillId="0" borderId="2" xfId="0" applyNumberFormat="1" applyFont="1" applyBorder="1"/>
    <xf numFmtId="172" fontId="6" fillId="0" borderId="6" xfId="0" applyNumberFormat="1" applyFont="1" applyBorder="1"/>
    <xf numFmtId="0" fontId="17" fillId="0" borderId="0" xfId="0" applyFont="1" applyAlignment="1">
      <alignment horizontal="center" vertical="center"/>
    </xf>
    <xf numFmtId="172" fontId="6" fillId="0" borderId="2" xfId="0" applyNumberFormat="1" applyFont="1" applyBorder="1"/>
    <xf numFmtId="164" fontId="6" fillId="0" borderId="0" xfId="0" applyNumberFormat="1" applyFont="1"/>
    <xf numFmtId="164" fontId="17" fillId="0" borderId="0" xfId="0" applyNumberFormat="1" applyFont="1" applyAlignment="1">
      <alignment horizontal="center" vertical="center"/>
    </xf>
    <xf numFmtId="9" fontId="14" fillId="0" borderId="0" xfId="2" applyFont="1"/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9" fillId="0" borderId="0" xfId="0" applyFont="1" applyAlignment="1">
      <alignment horizontal="left" indent="1"/>
    </xf>
    <xf numFmtId="165" fontId="17" fillId="0" borderId="0" xfId="0" applyNumberFormat="1" applyFont="1"/>
    <xf numFmtId="1" fontId="18" fillId="0" borderId="0" xfId="0" applyNumberFormat="1" applyFont="1" applyAlignment="1">
      <alignment horizontal="right" vertical="center"/>
    </xf>
    <xf numFmtId="10" fontId="10" fillId="0" borderId="0" xfId="2" applyNumberFormat="1"/>
    <xf numFmtId="10" fontId="35" fillId="0" borderId="0" xfId="2" applyNumberFormat="1" applyFont="1"/>
    <xf numFmtId="185" fontId="41" fillId="0" borderId="7" xfId="3" applyNumberFormat="1" applyFont="1" applyBorder="1"/>
    <xf numFmtId="9" fontId="9" fillId="0" borderId="0" xfId="3" applyNumberFormat="1"/>
    <xf numFmtId="168" fontId="14" fillId="0" borderId="0" xfId="0" applyNumberFormat="1" applyFont="1" applyAlignment="1">
      <alignment horizontal="center" vertical="center"/>
    </xf>
    <xf numFmtId="168" fontId="0" fillId="0" borderId="0" xfId="0" applyNumberFormat="1"/>
    <xf numFmtId="177" fontId="13" fillId="0" borderId="0" xfId="3" applyNumberFormat="1" applyFont="1" applyAlignment="1">
      <alignment vertical="center"/>
    </xf>
    <xf numFmtId="192" fontId="10" fillId="0" borderId="0" xfId="1"/>
    <xf numFmtId="190" fontId="5" fillId="0" borderId="2" xfId="0" applyNumberFormat="1" applyFont="1" applyBorder="1"/>
    <xf numFmtId="166" fontId="13" fillId="0" borderId="0" xfId="3" applyNumberFormat="1" applyFont="1" applyAlignment="1">
      <alignment vertical="center"/>
    </xf>
    <xf numFmtId="0" fontId="0" fillId="0" borderId="0" xfId="0" applyAlignment="1">
      <alignment horizontal="centerContinuous"/>
    </xf>
    <xf numFmtId="0" fontId="0" fillId="0" borderId="26" xfId="0" applyBorder="1" applyAlignment="1">
      <alignment horizontal="centerContinuous"/>
    </xf>
    <xf numFmtId="173" fontId="0" fillId="5" borderId="0" xfId="0" applyNumberFormat="1" applyFill="1"/>
    <xf numFmtId="193" fontId="12" fillId="0" borderId="27" xfId="0" applyNumberFormat="1" applyFont="1" applyBorder="1"/>
    <xf numFmtId="180" fontId="13" fillId="0" borderId="28" xfId="0" applyNumberFormat="1" applyFont="1" applyBorder="1"/>
    <xf numFmtId="193" fontId="12" fillId="0" borderId="28" xfId="0" applyNumberFormat="1" applyFont="1" applyBorder="1"/>
    <xf numFmtId="10" fontId="12" fillId="0" borderId="29" xfId="0" applyNumberFormat="1" applyFont="1" applyBorder="1"/>
    <xf numFmtId="174" fontId="0" fillId="0" borderId="26" xfId="0" applyNumberFormat="1" applyBorder="1"/>
    <xf numFmtId="174" fontId="0" fillId="0" borderId="0" xfId="0" applyNumberFormat="1"/>
    <xf numFmtId="0" fontId="0" fillId="0" borderId="0" xfId="0" applyAlignment="1">
      <alignment horizontal="right"/>
    </xf>
    <xf numFmtId="10" fontId="13" fillId="0" borderId="29" xfId="0" applyNumberFormat="1" applyFont="1" applyBorder="1"/>
    <xf numFmtId="10" fontId="12" fillId="0" borderId="9" xfId="0" applyNumberFormat="1" applyFont="1" applyBorder="1"/>
    <xf numFmtId="0" fontId="13" fillId="2" borderId="30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180" fontId="0" fillId="0" borderId="0" xfId="0" applyNumberFormat="1"/>
    <xf numFmtId="0" fontId="0" fillId="0" borderId="0" xfId="0" applyAlignment="1">
      <alignment wrapText="1"/>
    </xf>
    <xf numFmtId="0" fontId="0" fillId="0" borderId="31" xfId="0" applyBorder="1"/>
    <xf numFmtId="0" fontId="0" fillId="0" borderId="31" xfId="0" applyBorder="1" applyAlignment="1">
      <alignment wrapText="1"/>
    </xf>
    <xf numFmtId="37" fontId="0" fillId="0" borderId="0" xfId="0" applyNumberFormat="1"/>
    <xf numFmtId="173" fontId="0" fillId="0" borderId="0" xfId="0" applyNumberFormat="1"/>
    <xf numFmtId="39" fontId="13" fillId="0" borderId="0" xfId="0" applyNumberFormat="1" applyFont="1"/>
    <xf numFmtId="39" fontId="41" fillId="0" borderId="0" xfId="0" applyNumberFormat="1" applyFont="1"/>
    <xf numFmtId="173" fontId="41" fillId="0" borderId="0" xfId="0" applyNumberFormat="1" applyFont="1"/>
    <xf numFmtId="39" fontId="11" fillId="0" borderId="0" xfId="0" applyNumberFormat="1" applyFont="1"/>
    <xf numFmtId="194" fontId="34" fillId="0" borderId="0" xfId="0" applyNumberFormat="1" applyFont="1" applyAlignment="1">
      <alignment horizontal="right" vertical="center"/>
    </xf>
    <xf numFmtId="194" fontId="13" fillId="0" borderId="0" xfId="0" applyNumberFormat="1" applyFont="1" applyAlignment="1">
      <alignment horizontal="right" vertical="center"/>
    </xf>
    <xf numFmtId="194" fontId="13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 vertical="center"/>
    </xf>
    <xf numFmtId="0" fontId="9" fillId="0" borderId="0" xfId="3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/>
    </xf>
    <xf numFmtId="168" fontId="17" fillId="0" borderId="0" xfId="1" applyNumberFormat="1" applyFont="1"/>
    <xf numFmtId="166" fontId="20" fillId="0" borderId="0" xfId="2" applyNumberFormat="1" applyFont="1" applyAlignment="1">
      <alignment horizontal="left"/>
    </xf>
    <xf numFmtId="166" fontId="42" fillId="0" borderId="0" xfId="2" applyNumberFormat="1" applyFont="1"/>
    <xf numFmtId="0" fontId="20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right" vertical="center"/>
    </xf>
    <xf numFmtId="37" fontId="17" fillId="0" borderId="0" xfId="1" applyNumberFormat="1" applyFont="1" applyAlignment="1">
      <alignment horizontal="right" vertical="center"/>
    </xf>
    <xf numFmtId="37" fontId="19" fillId="0" borderId="0" xfId="0" applyNumberFormat="1" applyFont="1" applyAlignment="1">
      <alignment horizontal="right" vertical="center"/>
    </xf>
    <xf numFmtId="37" fontId="19" fillId="0" borderId="0" xfId="1" applyNumberFormat="1" applyFont="1" applyAlignment="1">
      <alignment horizontal="right" vertical="center"/>
    </xf>
    <xf numFmtId="37" fontId="20" fillId="0" borderId="0" xfId="1" applyNumberFormat="1" applyFont="1" applyAlignment="1">
      <alignment horizontal="right" vertical="center"/>
    </xf>
    <xf numFmtId="37" fontId="23" fillId="0" borderId="0" xfId="0" applyNumberFormat="1" applyFont="1" applyAlignment="1">
      <alignment horizontal="right" vertical="center"/>
    </xf>
    <xf numFmtId="37" fontId="20" fillId="0" borderId="0" xfId="0" applyNumberFormat="1" applyFont="1" applyAlignment="1">
      <alignment horizontal="right" vertical="center"/>
    </xf>
    <xf numFmtId="0" fontId="11" fillId="0" borderId="4" xfId="7" applyFont="1" applyBorder="1"/>
    <xf numFmtId="0" fontId="4" fillId="0" borderId="4" xfId="7" applyBorder="1"/>
    <xf numFmtId="0" fontId="4" fillId="0" borderId="0" xfId="7"/>
    <xf numFmtId="0" fontId="43" fillId="0" borderId="0" xfId="0" applyFont="1"/>
    <xf numFmtId="14" fontId="38" fillId="0" borderId="0" xfId="0" applyNumberFormat="1" applyFont="1"/>
    <xf numFmtId="0" fontId="20" fillId="0" borderId="2" xfId="0" applyFont="1" applyBorder="1"/>
    <xf numFmtId="0" fontId="17" fillId="0" borderId="2" xfId="0" applyFont="1" applyBorder="1"/>
    <xf numFmtId="14" fontId="43" fillId="0" borderId="0" xfId="0" applyNumberFormat="1" applyFont="1"/>
    <xf numFmtId="196" fontId="44" fillId="0" borderId="0" xfId="0" applyNumberFormat="1" applyFont="1"/>
    <xf numFmtId="196" fontId="20" fillId="0" borderId="0" xfId="0" applyNumberFormat="1" applyFont="1"/>
    <xf numFmtId="196" fontId="20" fillId="0" borderId="32" xfId="0" applyNumberFormat="1" applyFont="1" applyBorder="1"/>
    <xf numFmtId="166" fontId="43" fillId="0" borderId="0" xfId="0" applyNumberFormat="1" applyFont="1"/>
    <xf numFmtId="197" fontId="17" fillId="0" borderId="0" xfId="0" applyNumberFormat="1" applyFont="1"/>
    <xf numFmtId="197" fontId="20" fillId="0" borderId="0" xfId="0" applyNumberFormat="1" applyFont="1"/>
    <xf numFmtId="196" fontId="17" fillId="0" borderId="0" xfId="0" applyNumberFormat="1" applyFont="1"/>
    <xf numFmtId="4" fontId="20" fillId="0" borderId="32" xfId="0" applyNumberFormat="1" applyFont="1" applyBorder="1"/>
    <xf numFmtId="177" fontId="23" fillId="0" borderId="0" xfId="7" applyNumberFormat="1" applyFont="1"/>
    <xf numFmtId="0" fontId="34" fillId="0" borderId="0" xfId="0" applyFont="1"/>
    <xf numFmtId="189" fontId="35" fillId="0" borderId="0" xfId="1" applyNumberFormat="1" applyFont="1"/>
    <xf numFmtId="189" fontId="20" fillId="0" borderId="0" xfId="1" applyNumberFormat="1" applyFont="1"/>
    <xf numFmtId="189" fontId="17" fillId="0" borderId="0" xfId="1" applyNumberFormat="1" applyFont="1"/>
    <xf numFmtId="189" fontId="18" fillId="0" borderId="0" xfId="1" applyNumberFormat="1" applyFont="1"/>
    <xf numFmtId="166" fontId="19" fillId="0" borderId="0" xfId="2" applyNumberFormat="1" applyFont="1" applyAlignment="1">
      <alignment horizontal="left"/>
    </xf>
    <xf numFmtId="166" fontId="39" fillId="0" borderId="0" xfId="2" applyNumberFormat="1" applyFont="1"/>
    <xf numFmtId="189" fontId="45" fillId="0" borderId="0" xfId="1" applyNumberFormat="1" applyFont="1"/>
    <xf numFmtId="198" fontId="10" fillId="0" borderId="0" xfId="2" applyNumberFormat="1"/>
    <xf numFmtId="41" fontId="18" fillId="0" borderId="0" xfId="1" applyNumberFormat="1" applyFont="1"/>
    <xf numFmtId="41" fontId="17" fillId="0" borderId="0" xfId="1" applyNumberFormat="1" applyFont="1"/>
    <xf numFmtId="41" fontId="20" fillId="0" borderId="3" xfId="1" applyNumberFormat="1" applyFont="1" applyBorder="1"/>
    <xf numFmtId="41" fontId="20" fillId="0" borderId="0" xfId="1" applyNumberFormat="1" applyFont="1"/>
    <xf numFmtId="199" fontId="14" fillId="0" borderId="0" xfId="0" applyNumberFormat="1" applyFont="1" applyAlignment="1">
      <alignment horizontal="right" vertical="center"/>
    </xf>
    <xf numFmtId="9" fontId="18" fillId="0" borderId="0" xfId="2" applyFont="1"/>
    <xf numFmtId="190" fontId="3" fillId="0" borderId="2" xfId="0" applyNumberFormat="1" applyFont="1" applyBorder="1"/>
    <xf numFmtId="0" fontId="23" fillId="0" borderId="0" xfId="0" applyFont="1"/>
    <xf numFmtId="172" fontId="3" fillId="0" borderId="0" xfId="0" applyNumberFormat="1" applyFont="1"/>
    <xf numFmtId="172" fontId="23" fillId="0" borderId="0" xfId="0" applyNumberFormat="1" applyFont="1"/>
    <xf numFmtId="174" fontId="41" fillId="0" borderId="7" xfId="3" applyNumberFormat="1" applyFont="1" applyBorder="1" applyAlignment="1">
      <alignment vertical="center"/>
    </xf>
    <xf numFmtId="37" fontId="41" fillId="0" borderId="0" xfId="0" applyNumberFormat="1" applyFont="1"/>
    <xf numFmtId="175" fontId="41" fillId="0" borderId="0" xfId="3" applyNumberFormat="1" applyFont="1"/>
    <xf numFmtId="37" fontId="34" fillId="0" borderId="0" xfId="0" applyNumberFormat="1" applyFont="1"/>
    <xf numFmtId="2" fontId="12" fillId="0" borderId="0" xfId="3" applyNumberFormat="1" applyFont="1"/>
    <xf numFmtId="196" fontId="18" fillId="0" borderId="0" xfId="0" applyNumberFormat="1" applyFont="1"/>
    <xf numFmtId="49" fontId="18" fillId="0" borderId="0" xfId="0" applyNumberFormat="1" applyFont="1"/>
    <xf numFmtId="49" fontId="18" fillId="0" borderId="0" xfId="0" applyNumberFormat="1" applyFont="1" applyAlignment="1">
      <alignment horizontal="left"/>
    </xf>
    <xf numFmtId="14" fontId="18" fillId="0" borderId="0" xfId="0" applyNumberFormat="1" applyFont="1"/>
    <xf numFmtId="4" fontId="18" fillId="0" borderId="0" xfId="0" applyNumberFormat="1" applyFont="1"/>
    <xf numFmtId="14" fontId="46" fillId="0" borderId="0" xfId="0" applyNumberFormat="1" applyFont="1"/>
    <xf numFmtId="0" fontId="48" fillId="0" borderId="0" xfId="0" applyFont="1"/>
    <xf numFmtId="0" fontId="47" fillId="0" borderId="0" xfId="0" applyFont="1"/>
    <xf numFmtId="200" fontId="18" fillId="0" borderId="0" xfId="0" applyNumberFormat="1" applyFont="1"/>
    <xf numFmtId="166" fontId="9" fillId="0" borderId="0" xfId="3" applyNumberFormat="1"/>
    <xf numFmtId="10" fontId="9" fillId="0" borderId="0" xfId="3" applyNumberFormat="1"/>
    <xf numFmtId="0" fontId="2" fillId="0" borderId="0" xfId="3" applyFont="1"/>
    <xf numFmtId="166" fontId="19" fillId="0" borderId="0" xfId="2" applyNumberFormat="1" applyFont="1"/>
    <xf numFmtId="201" fontId="9" fillId="0" borderId="0" xfId="3" applyNumberFormat="1"/>
    <xf numFmtId="202" fontId="9" fillId="0" borderId="0" xfId="3" applyNumberFormat="1"/>
    <xf numFmtId="203" fontId="9" fillId="0" borderId="0" xfId="3" applyNumberFormat="1"/>
    <xf numFmtId="0" fontId="1" fillId="0" borderId="0" xfId="3" applyFont="1" applyAlignment="1">
      <alignment horizontal="left"/>
    </xf>
    <xf numFmtId="2" fontId="48" fillId="0" borderId="0" xfId="0" applyNumberFormat="1" applyFont="1"/>
  </cellXfs>
  <cellStyles count="8">
    <cellStyle name="Comma" xfId="1" builtinId="3"/>
    <cellStyle name="Hyperlink" xfId="5" builtinId="8"/>
    <cellStyle name="Normal" xfId="0" builtinId="0"/>
    <cellStyle name="Normal 15" xfId="6" xr:uid="{00000000-0005-0000-0000-000006000000}"/>
    <cellStyle name="Normal 2" xfId="3" xr:uid="{00000000-0005-0000-0000-000003000000}"/>
    <cellStyle name="Normal 2 2" xfId="7" xr:uid="{DBAE67C8-160E-49AC-AF22-FF1456715B4B}"/>
    <cellStyle name="Normal_DCF_Model" xfId="4" xr:uid="{00000000-0005-0000-0000-000004000000}"/>
    <cellStyle name="Percent" xfId="2" builtinId="5"/>
  </cellStyles>
  <dxfs count="5">
    <dxf>
      <font>
        <b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b/>
        <color rgb="FF00B050"/>
      </font>
      <fill>
        <patternFill>
          <bgColor auto="1"/>
        </patternFill>
      </fill>
    </dxf>
    <dxf>
      <font>
        <b/>
        <color theme="5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42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DCF!$B$127:$B$129</c:f>
              <c:strCache>
                <c:ptCount val="3"/>
                <c:pt idx="0">
                  <c:v>DCF Value at 8.2x-10.2x Exit EBITDA Range at 26.5% WACC</c:v>
                </c:pt>
                <c:pt idx="1">
                  <c:v>DCF Value at 9.0%-11.0% Perpetuity Range at 26.5%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DCF!$C$127:$C$129</c:f>
              <c:numCache>
                <c:formatCode>#,##0.00_);\(#,##0.00\)</c:formatCode>
                <c:ptCount val="3"/>
                <c:pt idx="0">
                  <c:v>7.5747736378555128</c:v>
                </c:pt>
                <c:pt idx="1">
                  <c:v>4.8452333240374186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4-4A58-AA79-821BA5E6415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DCF!$B$127:$B$129</c:f>
              <c:strCache>
                <c:ptCount val="3"/>
                <c:pt idx="0">
                  <c:v>DCF Value at 8.2x-10.2x Exit EBITDA Range at 26.5% WACC</c:v>
                </c:pt>
                <c:pt idx="1">
                  <c:v>DCF Value at 9.0%-11.0% Perpetuity Range at 26.5%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DCF!$D$127:$D$129</c:f>
              <c:numCache>
                <c:formatCode>#,##0.00_);\(#,##0.00\)</c:formatCode>
                <c:ptCount val="3"/>
                <c:pt idx="0">
                  <c:v>1.2904849712500877</c:v>
                </c:pt>
                <c:pt idx="1">
                  <c:v>0.43759605332923535</c:v>
                </c:pt>
                <c:pt idx="2">
                  <c:v>18.899999999999999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4-4A58-AA79-821BA5E6415D}"/>
            </c:ext>
          </c:extLst>
        </c:ser>
        <c:ser>
          <c:idx val="2"/>
          <c:order val="2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DCF!$B$127:$B$129</c:f>
              <c:strCache>
                <c:ptCount val="3"/>
                <c:pt idx="0">
                  <c:v>DCF Value at 8.2x-10.2x Exit EBITDA Range at 26.5% WACC</c:v>
                </c:pt>
                <c:pt idx="1">
                  <c:v>DCF Value at 9.0%-11.0% Perpetuity Range at 26.5%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DCF!$E$127:$E$129</c:f>
              <c:numCache>
                <c:formatCode>#,##0.00_);\(#,##0.00\)</c:formatCode>
                <c:ptCount val="3"/>
                <c:pt idx="0">
                  <c:v>8.8652586091056005</c:v>
                </c:pt>
                <c:pt idx="1">
                  <c:v>5.2828293773666539</c:v>
                </c:pt>
                <c:pt idx="2">
                  <c:v>19.149999999999999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4-4A58-AA79-821BA5E6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42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DCF!$G$127:$G$129</c:f>
              <c:strCache>
                <c:ptCount val="3"/>
                <c:pt idx="0">
                  <c:v>LTM EBITDA Purchase Multiple at 9.0%-11.0% Perpetuity Growth at 26.5% WACC</c:v>
                </c:pt>
                <c:pt idx="1">
                  <c:v>LTM EBITDA Purchase Multiple at 9.2x-10.7x Exit EBITDA Multiple at 26.5% WACC</c:v>
                </c:pt>
                <c:pt idx="2">
                  <c:v>LTM EBITDA Purchase Multiple at 24.5%-28.5% WACC at 9.2x Exit EBITDA</c:v>
                </c:pt>
              </c:strCache>
            </c:strRef>
          </c:cat>
          <c:val>
            <c:numRef>
              <c:f>DCF!$O$127:$O$129</c:f>
              <c:numCache>
                <c:formatCode>#,##0.00_);\(#,##0.00\)</c:formatCode>
                <c:ptCount val="3"/>
                <c:pt idx="0">
                  <c:v>5.9044043321622688</c:v>
                </c:pt>
                <c:pt idx="1">
                  <c:v>9.1764500952667483</c:v>
                </c:pt>
                <c:pt idx="2">
                  <c:v>9.9499367261753715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6-41BE-8998-F76B9C92BB2D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prstDash val="solid"/>
            </a:ln>
          </c:spPr>
          <c:invertIfNegative val="0"/>
          <c:cat>
            <c:strRef>
              <c:f>DCF!$G$127:$G$129</c:f>
              <c:strCache>
                <c:ptCount val="3"/>
                <c:pt idx="0">
                  <c:v>LTM EBITDA Purchase Multiple at 9.0%-11.0% Perpetuity Growth at 26.5% WACC</c:v>
                </c:pt>
                <c:pt idx="1">
                  <c:v>LTM EBITDA Purchase Multiple at 9.2x-10.7x Exit EBITDA Multiple at 26.5% WACC</c:v>
                </c:pt>
                <c:pt idx="2">
                  <c:v>LTM EBITDA Purchase Multiple at 24.5%-28.5% WACC at 9.2x Exit EBITDA</c:v>
                </c:pt>
              </c:strCache>
            </c:strRef>
          </c:cat>
          <c:val>
            <c:numRef>
              <c:f>DCF!$P$127:$P$129</c:f>
              <c:numCache>
                <c:formatCode>#,##0.00_);\(#,##0.00\)</c:formatCode>
                <c:ptCount val="3"/>
                <c:pt idx="0">
                  <c:v>0.52456976180150594</c:v>
                </c:pt>
                <c:pt idx="1">
                  <c:v>1.5469732618172483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6-41BE-8998-F76B9C92BB2D}"/>
            </c:ext>
          </c:extLst>
        </c:ser>
        <c:ser>
          <c:idx val="2"/>
          <c:order val="2"/>
          <c:spPr>
            <a:noFill/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DCF!$G$127:$G$129</c:f>
              <c:strCache>
                <c:ptCount val="3"/>
                <c:pt idx="0">
                  <c:v>LTM EBITDA Purchase Multiple at 9.0%-11.0% Perpetuity Growth at 26.5% WACC</c:v>
                </c:pt>
                <c:pt idx="1">
                  <c:v>LTM EBITDA Purchase Multiple at 9.2x-10.7x Exit EBITDA Multiple at 26.5% WACC</c:v>
                </c:pt>
                <c:pt idx="2">
                  <c:v>LTM EBITDA Purchase Multiple at 24.5%-28.5% WACC at 9.2x Exit EBITDA</c:v>
                </c:pt>
              </c:strCache>
            </c:strRef>
          </c:cat>
          <c:val>
            <c:numRef>
              <c:f>DCF!$Q$127:$Q$129</c:f>
              <c:numCache>
                <c:formatCode>#,##0.00_);\(#,##0.00\)</c:formatCode>
                <c:ptCount val="3"/>
                <c:pt idx="0">
                  <c:v>6.4289740939637747</c:v>
                </c:pt>
                <c:pt idx="1">
                  <c:v>10.723423357083997</c:v>
                </c:pt>
                <c:pt idx="2">
                  <c:v>9.9499367261753715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6-41BE-8998-F76B9C92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105</xdr:row>
      <xdr:rowOff>149424</xdr:rowOff>
    </xdr:from>
    <xdr:to>
      <xdr:col>4</xdr:col>
      <xdr:colOff>654844</xdr:colOff>
      <xdr:row>124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105</xdr:row>
      <xdr:rowOff>149424</xdr:rowOff>
    </xdr:from>
    <xdr:to>
      <xdr:col>16</xdr:col>
      <xdr:colOff>1121</xdr:colOff>
      <xdr:row>124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avymzr</v>
    <v>268435456</v>
    <v>1</v>
    <v>Powered by Refinitiv</v>
    <v>0</v>
    <v>USD/EGP</v>
    <v>2</v>
    <v>3</v>
    <v>Finance</v>
    <v>4</v>
    <v>54.81</v>
    <v>46.6</v>
    <v>-0.01</v>
    <v>-1.9130000000000001E-4</v>
    <v>EGP</v>
    <v>USD</v>
    <v>Currency Pair</v>
    <v>46298.209421296298</v>
    <v>US Dollar/Egyptian Pound FX Spot Rate</v>
    <v>52.26</v>
    <v>52.27</v>
    <v>52.26</v>
    <v>USDEGP</v>
    <v>USD/EGP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5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\ h:mm"/>
    </x:dxf>
    <x:dxf>
      <x:numFmt numFmtId="14" formatCode="0.00%"/>
    </x:dxf>
  </dxfs>
  <richProperties>
    <rPr n="IsTitleField" t="b"/>
    <rPr n="NumberFormat" t="s"/>
  </richProperties>
  <richStyles>
    <rSty>
      <rpv i="0">1</rpv>
    </rSty>
    <rSty dxfid="1">
      <rpv i="1">_-* #,##0.00 [$ج.م.‏-ar-EG]_-;-* #,##0.00 [$ج.م.‏-ar-EG]_-;_-* "-"?? [$ج.م.‏-ar-EG]_-;_-@_-</rpv>
    </rSty>
    <rSty dxfid="3"/>
    <rSty dxfid="2"/>
    <rSty dxfid="0">
      <rpv i="1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574E26-0832-4BFA-8BBA-B504E971DFDB}">
  <we:reference id="wa200002252" version="1.0.0.3" store="en-US" storeType="OMEX"/>
  <we:alternateReferences>
    <we:reference id="wa200002252" version="1.0.0.3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"/>
  <sheetViews>
    <sheetView showGridLines="0" tabSelected="1" zoomScaleNormal="100" workbookViewId="0">
      <selection activeCell="H142" sqref="H142"/>
    </sheetView>
  </sheetViews>
  <sheetFormatPr defaultColWidth="9.140625" defaultRowHeight="15" x14ac:dyDescent="0.25"/>
  <cols>
    <col min="1" max="2" width="1.7109375" style="6" customWidth="1"/>
    <col min="3" max="3" width="66.42578125" style="6" bestFit="1" customWidth="1"/>
    <col min="4" max="4" width="17.140625" style="28" customWidth="1"/>
    <col min="5" max="11" width="17.140625" style="6" customWidth="1"/>
    <col min="12" max="12" width="2.7109375" style="6" customWidth="1"/>
    <col min="13" max="13" width="9.140625" style="6" customWidth="1"/>
    <col min="14" max="16384" width="9.140625" style="6"/>
  </cols>
  <sheetData>
    <row r="1" spans="3:11" ht="15" customHeight="1" thickBot="1" x14ac:dyDescent="0.3"/>
    <row r="2" spans="3:11" ht="15.75" customHeight="1" thickBot="1" x14ac:dyDescent="0.3">
      <c r="C2" s="2" t="str">
        <f>Company_Name&amp;" - Financial Statement Model"</f>
        <v>Gourmet Egypt - Financial Statement Model</v>
      </c>
      <c r="D2" s="8"/>
      <c r="E2" s="8"/>
      <c r="F2" s="8"/>
      <c r="G2" s="8"/>
      <c r="H2" s="8"/>
      <c r="I2" s="8"/>
      <c r="J2" s="8"/>
      <c r="K2" s="8"/>
    </row>
    <row r="3" spans="3:11" x14ac:dyDescent="0.25">
      <c r="C3" s="227" t="s">
        <v>100</v>
      </c>
      <c r="D3" s="9"/>
      <c r="E3" s="9"/>
      <c r="F3" s="9"/>
      <c r="G3" s="9"/>
      <c r="H3" s="9"/>
    </row>
    <row r="4" spans="3:11" ht="15" customHeight="1" x14ac:dyDescent="0.25"/>
    <row r="5" spans="3:11" x14ac:dyDescent="0.25">
      <c r="C5" s="3" t="s">
        <v>101</v>
      </c>
      <c r="D5" s="295" t="s">
        <v>281</v>
      </c>
    </row>
    <row r="6" spans="3:11" x14ac:dyDescent="0.25">
      <c r="C6" s="3" t="s">
        <v>102</v>
      </c>
      <c r="D6" s="4" t="s">
        <v>282</v>
      </c>
    </row>
    <row r="7" spans="3:11" x14ac:dyDescent="0.25">
      <c r="C7" s="6" t="s">
        <v>103</v>
      </c>
      <c r="D7" s="286">
        <v>17.03</v>
      </c>
    </row>
    <row r="8" spans="3:11" x14ac:dyDescent="0.25">
      <c r="C8" s="6" t="s">
        <v>104</v>
      </c>
      <c r="D8" s="5">
        <v>46274</v>
      </c>
    </row>
    <row r="9" spans="3:11" x14ac:dyDescent="0.25">
      <c r="C9" s="3" t="s">
        <v>105</v>
      </c>
      <c r="D9" s="5">
        <v>46022</v>
      </c>
    </row>
    <row r="10" spans="3:11" ht="15" customHeight="1" x14ac:dyDescent="0.25">
      <c r="C10" s="6" t="s">
        <v>56</v>
      </c>
      <c r="D10" s="236">
        <v>400000000</v>
      </c>
    </row>
    <row r="11" spans="3:11" ht="15" customHeight="1" x14ac:dyDescent="0.25"/>
    <row r="12" spans="3:11" x14ac:dyDescent="0.25">
      <c r="C12" s="38" t="s">
        <v>106</v>
      </c>
      <c r="D12" s="237"/>
      <c r="E12" s="39"/>
      <c r="F12" s="39"/>
      <c r="G12" s="39"/>
      <c r="H12" s="39"/>
      <c r="I12" s="39"/>
      <c r="J12" s="39"/>
      <c r="K12" s="39"/>
    </row>
    <row r="13" spans="3:11" x14ac:dyDescent="0.25">
      <c r="C13" t="s">
        <v>107</v>
      </c>
      <c r="D13" s="40">
        <f>E13-1</f>
        <v>2023</v>
      </c>
      <c r="E13" s="40">
        <f>F13-1</f>
        <v>2024</v>
      </c>
      <c r="F13" s="40">
        <f>YEAR(D9)</f>
        <v>2025</v>
      </c>
      <c r="G13" s="41">
        <f>F13+1</f>
        <v>2026</v>
      </c>
      <c r="H13" s="41">
        <f>G13+1</f>
        <v>2027</v>
      </c>
      <c r="I13" s="41">
        <f>H13+1</f>
        <v>2028</v>
      </c>
      <c r="J13" s="41">
        <f>I13+1</f>
        <v>2029</v>
      </c>
      <c r="K13" s="41">
        <f>J13+1</f>
        <v>2030</v>
      </c>
    </row>
    <row r="14" spans="3:11" x14ac:dyDescent="0.25">
      <c r="C14" s="42" t="s">
        <v>108</v>
      </c>
      <c r="D14" s="238">
        <f>EOMONTH(E14,-12)</f>
        <v>45291</v>
      </c>
      <c r="E14" s="224">
        <f>EOMONTH(F14,-12)</f>
        <v>45657</v>
      </c>
      <c r="F14" s="224">
        <f>D9</f>
        <v>46022</v>
      </c>
      <c r="G14" s="224">
        <f>EOMONTH(F14,12)</f>
        <v>46387</v>
      </c>
      <c r="H14" s="224">
        <f>EOMONTH(G14,12)</f>
        <v>46752</v>
      </c>
      <c r="I14" s="224">
        <f>EOMONTH(H14,12)</f>
        <v>47118</v>
      </c>
      <c r="J14" s="224">
        <f>EOMONTH(I14,12)</f>
        <v>47483</v>
      </c>
      <c r="K14" s="224">
        <f>EOMONTH(J14,12)</f>
        <v>47848</v>
      </c>
    </row>
    <row r="15" spans="3:11" ht="15" customHeight="1" x14ac:dyDescent="0.25"/>
    <row r="16" spans="3:11" ht="15" customHeight="1" x14ac:dyDescent="0.25">
      <c r="C16" s="6" t="s">
        <v>300</v>
      </c>
      <c r="D16" s="321">
        <v>1461003005</v>
      </c>
      <c r="E16" s="321">
        <v>2117799758</v>
      </c>
      <c r="F16" s="321">
        <v>2877655973</v>
      </c>
      <c r="G16" s="183">
        <f>G185</f>
        <v>3512241329.1259999</v>
      </c>
      <c r="H16" s="183">
        <f t="shared" ref="H16:K16" si="0">H185</f>
        <v>4145670431.9135056</v>
      </c>
      <c r="I16" s="183">
        <f t="shared" si="0"/>
        <v>4768537629.4373875</v>
      </c>
      <c r="J16" s="183">
        <f t="shared" si="0"/>
        <v>5341560854.4633684</v>
      </c>
      <c r="K16" s="183">
        <f t="shared" si="0"/>
        <v>5876369814.0254908</v>
      </c>
    </row>
    <row r="17" spans="3:11" ht="15" customHeight="1" x14ac:dyDescent="0.25">
      <c r="C17" s="6" t="s">
        <v>301</v>
      </c>
      <c r="D17" s="321">
        <v>-988835102</v>
      </c>
      <c r="E17" s="321">
        <v>-1426005686</v>
      </c>
      <c r="F17" s="321">
        <v>-1923541960</v>
      </c>
      <c r="G17" s="183">
        <f>-G16*(1-G39)</f>
        <v>-2363273540.7490873</v>
      </c>
      <c r="H17" s="183">
        <f t="shared" ref="H17:K17" si="1">-H16*(1-H39)</f>
        <v>-2789487487.4230356</v>
      </c>
      <c r="I17" s="183">
        <f t="shared" si="1"/>
        <v>-3208594669.8087702</v>
      </c>
      <c r="J17" s="183">
        <f t="shared" si="1"/>
        <v>-3594163455.9592361</v>
      </c>
      <c r="K17" s="183">
        <f t="shared" si="1"/>
        <v>-3954019099.4218755</v>
      </c>
    </row>
    <row r="18" spans="3:11" s="293" customFormat="1" ht="15" customHeight="1" x14ac:dyDescent="0.25">
      <c r="C18" s="292" t="s">
        <v>222</v>
      </c>
      <c r="D18" s="322">
        <f>SUM(D16:D17)</f>
        <v>472167903</v>
      </c>
      <c r="E18" s="322">
        <f t="shared" ref="E18:K18" si="2">SUM(E16:E17)</f>
        <v>691794072</v>
      </c>
      <c r="F18" s="322">
        <f>SUM(F16:F17)</f>
        <v>954114013</v>
      </c>
      <c r="G18" s="215">
        <f t="shared" si="2"/>
        <v>1148967788.3769126</v>
      </c>
      <c r="H18" s="215">
        <f t="shared" si="2"/>
        <v>1356182944.4904699</v>
      </c>
      <c r="I18" s="215">
        <f t="shared" si="2"/>
        <v>1559942959.6286173</v>
      </c>
      <c r="J18" s="215">
        <f t="shared" si="2"/>
        <v>1747397398.5041323</v>
      </c>
      <c r="K18" s="215">
        <f t="shared" si="2"/>
        <v>1922350714.6036153</v>
      </c>
    </row>
    <row r="19" spans="3:11" s="15" customFormat="1" ht="15" customHeight="1" x14ac:dyDescent="0.25">
      <c r="C19" s="222" t="s">
        <v>302</v>
      </c>
      <c r="D19" s="327">
        <f t="shared" ref="D19:E19" si="3">D57</f>
        <v>-312854249</v>
      </c>
      <c r="E19" s="327">
        <f t="shared" si="3"/>
        <v>-405834952</v>
      </c>
      <c r="F19" s="327">
        <f>F57</f>
        <v>-592354956</v>
      </c>
      <c r="G19" s="327">
        <f t="shared" ref="G19:K19" si="4">G57</f>
        <v>-691588775.47634792</v>
      </c>
      <c r="H19" s="327">
        <f t="shared" si="4"/>
        <v>-815569453.41305208</v>
      </c>
      <c r="I19" s="327">
        <f t="shared" si="4"/>
        <v>-937482856.30804324</v>
      </c>
      <c r="J19" s="327">
        <f t="shared" si="4"/>
        <v>-1049640329.9693545</v>
      </c>
      <c r="K19" s="327">
        <f t="shared" si="4"/>
        <v>-1154318149.6043308</v>
      </c>
    </row>
    <row r="20" spans="3:11" s="326" customFormat="1" ht="15" customHeight="1" x14ac:dyDescent="0.25">
      <c r="C20" s="325" t="s">
        <v>20</v>
      </c>
      <c r="D20" s="322">
        <f>SUM(D18:D19)</f>
        <v>159313654</v>
      </c>
      <c r="E20" s="322">
        <f t="shared" ref="E20:K20" si="5">SUM(E18:E19)</f>
        <v>285959120</v>
      </c>
      <c r="F20" s="322">
        <f>SUM(F18:F19)</f>
        <v>361759057</v>
      </c>
      <c r="G20" s="322">
        <f t="shared" si="5"/>
        <v>457379012.90056467</v>
      </c>
      <c r="H20" s="322">
        <f t="shared" si="5"/>
        <v>540613491.07741785</v>
      </c>
      <c r="I20" s="322">
        <f t="shared" si="5"/>
        <v>622460103.32057405</v>
      </c>
      <c r="J20" s="322">
        <f t="shared" si="5"/>
        <v>697757068.53477776</v>
      </c>
      <c r="K20" s="322">
        <f t="shared" si="5"/>
        <v>768032564.99928451</v>
      </c>
    </row>
    <row r="21" spans="3:11" s="15" customFormat="1" ht="15" customHeight="1" x14ac:dyDescent="0.25">
      <c r="C21" s="222" t="s">
        <v>304</v>
      </c>
      <c r="D21" s="321">
        <v>-45088086</v>
      </c>
      <c r="E21" s="321">
        <v>-43207268</v>
      </c>
      <c r="F21" s="321">
        <v>-41355878</v>
      </c>
      <c r="G21" s="183">
        <f>-G164</f>
        <v>-35411770.033024788</v>
      </c>
      <c r="H21" s="183">
        <f t="shared" ref="H21:K21" si="6">-H164</f>
        <v>-35348964.726810783</v>
      </c>
      <c r="I21" s="183">
        <f t="shared" si="6"/>
        <v>-45672897.207314245</v>
      </c>
      <c r="J21" s="183">
        <f t="shared" si="6"/>
        <v>-56459889.783929519</v>
      </c>
      <c r="K21" s="183">
        <f t="shared" si="6"/>
        <v>-67393060.431770548</v>
      </c>
    </row>
    <row r="22" spans="3:11" s="15" customFormat="1" ht="15" customHeight="1" x14ac:dyDescent="0.25">
      <c r="C22" s="222" t="s">
        <v>290</v>
      </c>
      <c r="D22" s="321">
        <v>-4505081</v>
      </c>
      <c r="E22" s="321">
        <v>-7108381</v>
      </c>
      <c r="F22" s="321">
        <v>-6938280</v>
      </c>
      <c r="G22" s="183">
        <f>G301</f>
        <v>-7000000</v>
      </c>
      <c r="H22" s="183">
        <f t="shared" ref="H22:K22" si="7">H301</f>
        <v>-5000000</v>
      </c>
      <c r="I22" s="183">
        <f t="shared" si="7"/>
        <v>-4000000</v>
      </c>
      <c r="J22" s="183">
        <f t="shared" si="7"/>
        <v>-3000000</v>
      </c>
      <c r="K22" s="183">
        <f t="shared" si="7"/>
        <v>-2000000</v>
      </c>
    </row>
    <row r="23" spans="3:11" s="15" customFormat="1" ht="15" customHeight="1" x14ac:dyDescent="0.25">
      <c r="C23" s="222" t="s">
        <v>292</v>
      </c>
      <c r="D23" s="321">
        <v>-33206271</v>
      </c>
      <c r="E23" s="321">
        <v>-36035425</v>
      </c>
      <c r="F23" s="321">
        <v>-36334900</v>
      </c>
      <c r="G23" s="183">
        <f>G288</f>
        <v>-44347530.999898404</v>
      </c>
      <c r="H23" s="183">
        <f t="shared" ref="H23:K23" si="8">H288</f>
        <v>-52345562.49595651</v>
      </c>
      <c r="I23" s="183">
        <f t="shared" si="8"/>
        <v>-60210233.446082793</v>
      </c>
      <c r="J23" s="183">
        <f t="shared" si="8"/>
        <v>-67445546.414119959</v>
      </c>
      <c r="K23" s="183">
        <f t="shared" si="8"/>
        <v>-74198344.610679701</v>
      </c>
    </row>
    <row r="24" spans="3:11" s="326" customFormat="1" ht="15" customHeight="1" x14ac:dyDescent="0.25">
      <c r="C24" s="325" t="s">
        <v>305</v>
      </c>
      <c r="D24" s="322">
        <f>SUM(D21:D23)</f>
        <v>-82799438</v>
      </c>
      <c r="E24" s="322">
        <f t="shared" ref="E24:K24" si="9">SUM(E21:E23)</f>
        <v>-86351074</v>
      </c>
      <c r="F24" s="322">
        <f t="shared" si="9"/>
        <v>-84629058</v>
      </c>
      <c r="G24" s="322">
        <f t="shared" si="9"/>
        <v>-86759301.032923192</v>
      </c>
      <c r="H24" s="322">
        <f t="shared" si="9"/>
        <v>-92694527.222767293</v>
      </c>
      <c r="I24" s="322">
        <f t="shared" si="9"/>
        <v>-109883130.65339704</v>
      </c>
      <c r="J24" s="322">
        <f t="shared" si="9"/>
        <v>-126905436.19804949</v>
      </c>
      <c r="K24" s="322">
        <f t="shared" si="9"/>
        <v>-143591405.04245025</v>
      </c>
    </row>
    <row r="25" spans="3:11" s="293" customFormat="1" ht="15" customHeight="1" x14ac:dyDescent="0.25">
      <c r="C25" s="292" t="s">
        <v>306</v>
      </c>
      <c r="D25" s="322">
        <f>D20+D24</f>
        <v>76514216</v>
      </c>
      <c r="E25" s="322">
        <f t="shared" ref="E25:K25" si="10">E20+E24</f>
        <v>199608046</v>
      </c>
      <c r="F25" s="322">
        <f t="shared" si="10"/>
        <v>277129999</v>
      </c>
      <c r="G25" s="322">
        <f t="shared" si="10"/>
        <v>370619711.86764145</v>
      </c>
      <c r="H25" s="322">
        <f t="shared" si="10"/>
        <v>447918963.85465056</v>
      </c>
      <c r="I25" s="322">
        <f t="shared" si="10"/>
        <v>512576972.66717702</v>
      </c>
      <c r="J25" s="322">
        <f t="shared" si="10"/>
        <v>570851632.33672833</v>
      </c>
      <c r="K25" s="322">
        <f t="shared" si="10"/>
        <v>624441159.95683432</v>
      </c>
    </row>
    <row r="26" spans="3:11" ht="15" customHeight="1" x14ac:dyDescent="0.25">
      <c r="C26" s="223" t="s">
        <v>223</v>
      </c>
      <c r="D26" s="321">
        <v>-47950964</v>
      </c>
      <c r="E26" s="321">
        <v>-55620920</v>
      </c>
      <c r="F26" s="321">
        <v>-37780877</v>
      </c>
      <c r="G26" s="255">
        <f>G241</f>
        <v>-40228350.490431122</v>
      </c>
      <c r="H26" s="255">
        <f t="shared" ref="H26:K26" si="11">H241</f>
        <v>-41822344.345260054</v>
      </c>
      <c r="I26" s="255">
        <f t="shared" si="11"/>
        <v>-45435244.585544705</v>
      </c>
      <c r="J26" s="255">
        <f t="shared" si="11"/>
        <v>-50173502.823235251</v>
      </c>
      <c r="K26" s="255">
        <f t="shared" si="11"/>
        <v>-55196985.57922782</v>
      </c>
    </row>
    <row r="27" spans="3:11" ht="15" customHeight="1" x14ac:dyDescent="0.25">
      <c r="C27" s="223" t="s">
        <v>295</v>
      </c>
      <c r="D27" s="321">
        <v>-435610</v>
      </c>
      <c r="E27" s="321">
        <v>8483341</v>
      </c>
      <c r="F27" s="321">
        <v>36040096</v>
      </c>
      <c r="G27" s="183">
        <f>G242</f>
        <v>42840526.260000005</v>
      </c>
      <c r="H27" s="183">
        <f t="shared" ref="H27:K27" si="12">H242</f>
        <v>43720738.395188034</v>
      </c>
      <c r="I27" s="183">
        <f t="shared" si="12"/>
        <v>49860748.370045133</v>
      </c>
      <c r="J27" s="183">
        <f t="shared" si="12"/>
        <v>55317613.165592134</v>
      </c>
      <c r="K27" s="183">
        <f t="shared" si="12"/>
        <v>69154501.29454799</v>
      </c>
    </row>
    <row r="28" spans="3:11" s="35" customFormat="1" ht="15" customHeight="1" x14ac:dyDescent="0.25">
      <c r="C28" s="294" t="s">
        <v>307</v>
      </c>
      <c r="D28" s="322">
        <f>SUM(D25:D27)</f>
        <v>28127642</v>
      </c>
      <c r="E28" s="322">
        <f>SUM(E25:E27)</f>
        <v>152470467</v>
      </c>
      <c r="F28" s="322">
        <f>SUM(F25:F27)</f>
        <v>275389218</v>
      </c>
      <c r="G28" s="322">
        <f t="shared" ref="G28:K28" si="13">SUM(G25:G27)</f>
        <v>373231887.63721031</v>
      </c>
      <c r="H28" s="322">
        <f t="shared" si="13"/>
        <v>449817357.90457851</v>
      </c>
      <c r="I28" s="322">
        <f t="shared" si="13"/>
        <v>517002476.45167744</v>
      </c>
      <c r="J28" s="322">
        <f t="shared" si="13"/>
        <v>575995742.67908525</v>
      </c>
      <c r="K28" s="322">
        <f t="shared" si="13"/>
        <v>638398675.67215455</v>
      </c>
    </row>
    <row r="29" spans="3:11" ht="15" customHeight="1" x14ac:dyDescent="0.25">
      <c r="C29" s="6" t="s">
        <v>296</v>
      </c>
      <c r="D29" s="321">
        <v>0</v>
      </c>
      <c r="E29" s="321">
        <v>-22336568</v>
      </c>
      <c r="F29" s="321">
        <v>-69211808</v>
      </c>
      <c r="G29" s="183">
        <f>G28*-G40</f>
        <v>-83977174.718372315</v>
      </c>
      <c r="H29" s="183">
        <f t="shared" ref="H29:K29" si="14">H28*-H40</f>
        <v>-101208905.52853017</v>
      </c>
      <c r="I29" s="183">
        <f t="shared" si="14"/>
        <v>-116325557.20162743</v>
      </c>
      <c r="J29" s="183">
        <f t="shared" si="14"/>
        <v>-129599042.10279419</v>
      </c>
      <c r="K29" s="183">
        <f t="shared" si="14"/>
        <v>-143639702.02623478</v>
      </c>
    </row>
    <row r="30" spans="3:11" ht="15" customHeight="1" x14ac:dyDescent="0.25">
      <c r="C30" s="6" t="s">
        <v>297</v>
      </c>
      <c r="D30" s="321">
        <v>3617966</v>
      </c>
      <c r="E30" s="321">
        <v>4907885</v>
      </c>
      <c r="F30" s="321">
        <v>5035222</v>
      </c>
      <c r="G30" s="183">
        <v>0</v>
      </c>
      <c r="H30" s="183">
        <f>G30</f>
        <v>0</v>
      </c>
      <c r="I30" s="183">
        <f t="shared" ref="I30:K30" si="15">H30</f>
        <v>0</v>
      </c>
      <c r="J30" s="183">
        <f t="shared" si="15"/>
        <v>0</v>
      </c>
      <c r="K30" s="183">
        <f t="shared" si="15"/>
        <v>0</v>
      </c>
    </row>
    <row r="31" spans="3:11" s="44" customFormat="1" ht="15" customHeight="1" x14ac:dyDescent="0.25">
      <c r="C31" s="44" t="s">
        <v>308</v>
      </c>
      <c r="D31" s="322">
        <f>SUM(D28:D30)</f>
        <v>31745608</v>
      </c>
      <c r="E31" s="322">
        <f t="shared" ref="E31:K31" si="16">SUM(E28:E30)</f>
        <v>135041784</v>
      </c>
      <c r="F31" s="322">
        <f t="shared" si="16"/>
        <v>211212632</v>
      </c>
      <c r="G31" s="322">
        <f t="shared" si="16"/>
        <v>289254712.91883802</v>
      </c>
      <c r="H31" s="322">
        <f t="shared" si="16"/>
        <v>348608452.37604833</v>
      </c>
      <c r="I31" s="322">
        <f t="shared" si="16"/>
        <v>400676919.25005001</v>
      </c>
      <c r="J31" s="322">
        <f t="shared" si="16"/>
        <v>446396700.57629108</v>
      </c>
      <c r="K31" s="322">
        <f t="shared" si="16"/>
        <v>494758973.6459198</v>
      </c>
    </row>
    <row r="32" spans="3:11" s="35" customFormat="1" ht="15" customHeight="1" x14ac:dyDescent="0.25">
      <c r="C32" s="35" t="s">
        <v>298</v>
      </c>
      <c r="D32" s="323">
        <f>D31-D33</f>
        <v>31745161</v>
      </c>
      <c r="E32" s="323">
        <f t="shared" ref="E32:K32" si="17">E31-E33</f>
        <v>135031718</v>
      </c>
      <c r="F32" s="323">
        <f t="shared" si="17"/>
        <v>211202869</v>
      </c>
      <c r="G32" s="291">
        <f t="shared" si="17"/>
        <v>289241342.53594244</v>
      </c>
      <c r="H32" s="291">
        <f t="shared" si="17"/>
        <v>348592338.45195049</v>
      </c>
      <c r="I32" s="291">
        <f t="shared" si="17"/>
        <v>400658398.53599232</v>
      </c>
      <c r="J32" s="291">
        <f t="shared" si="17"/>
        <v>446376066.53112787</v>
      </c>
      <c r="K32" s="291">
        <f t="shared" si="17"/>
        <v>494736104.12427253</v>
      </c>
    </row>
    <row r="33" spans="3:11" s="35" customFormat="1" ht="15" customHeight="1" x14ac:dyDescent="0.25">
      <c r="C33" s="35" t="s">
        <v>299</v>
      </c>
      <c r="D33" s="324">
        <v>447</v>
      </c>
      <c r="E33" s="324">
        <v>10066</v>
      </c>
      <c r="F33" s="324">
        <v>9763</v>
      </c>
      <c r="G33" s="291">
        <f>G257</f>
        <v>13370.382895596016</v>
      </c>
      <c r="H33" s="291">
        <f t="shared" ref="H33:K33" si="18">H257</f>
        <v>16113.92409781324</v>
      </c>
      <c r="I33" s="291">
        <f t="shared" si="18"/>
        <v>18520.714057662226</v>
      </c>
      <c r="J33" s="291">
        <f t="shared" si="18"/>
        <v>20634.045163199946</v>
      </c>
      <c r="K33" s="291">
        <f t="shared" si="18"/>
        <v>22869.521647290087</v>
      </c>
    </row>
    <row r="34" spans="3:11" ht="15" customHeight="1" x14ac:dyDescent="0.25">
      <c r="D34" s="14"/>
      <c r="E34" s="14"/>
      <c r="F34" s="14"/>
      <c r="G34" s="183"/>
      <c r="H34" s="183"/>
      <c r="I34" s="183"/>
      <c r="J34" s="183"/>
      <c r="K34" s="183"/>
    </row>
    <row r="35" spans="3:11" s="326" customFormat="1" ht="15" customHeight="1" x14ac:dyDescent="0.25">
      <c r="C35" s="325" t="s">
        <v>399</v>
      </c>
      <c r="D35" s="322">
        <f t="shared" ref="D35:E35" si="19">D20-ABS(D49+D50+D51+D52+D56)</f>
        <v>154063791</v>
      </c>
      <c r="E35" s="322">
        <f t="shared" si="19"/>
        <v>278963899</v>
      </c>
      <c r="F35" s="322">
        <f>F20-ABS(F49+F50+F51+F52+F56)</f>
        <v>333679968</v>
      </c>
      <c r="G35" s="322">
        <f t="shared" ref="G35:K35" si="20">G20-ABS(G49+G50+G51+G52+G56)</f>
        <v>457379012.90056467</v>
      </c>
      <c r="H35" s="322">
        <f t="shared" si="20"/>
        <v>540613491.07741785</v>
      </c>
      <c r="I35" s="322">
        <f t="shared" si="20"/>
        <v>622460103.32057405</v>
      </c>
      <c r="J35" s="322">
        <f t="shared" si="20"/>
        <v>697757068.53477776</v>
      </c>
      <c r="K35" s="322">
        <f t="shared" si="20"/>
        <v>768032564.99928451</v>
      </c>
    </row>
    <row r="36" spans="3:11" ht="15" customHeight="1" x14ac:dyDescent="0.25">
      <c r="C36" s="17"/>
      <c r="D36" s="14"/>
      <c r="E36" s="14"/>
      <c r="F36" s="14"/>
      <c r="G36" s="194"/>
      <c r="H36" s="14"/>
      <c r="I36" s="14"/>
      <c r="J36" s="14"/>
      <c r="K36" s="14"/>
    </row>
    <row r="37" spans="3:11" ht="15" customHeight="1" x14ac:dyDescent="0.25">
      <c r="C37" s="20" t="s">
        <v>110</v>
      </c>
      <c r="D37" s="21"/>
      <c r="E37" s="21"/>
      <c r="F37" s="14"/>
      <c r="H37" s="21"/>
      <c r="I37" s="21"/>
      <c r="J37" s="21"/>
      <c r="K37" s="21"/>
    </row>
    <row r="38" spans="3:11" ht="15" customHeight="1" x14ac:dyDescent="0.25">
      <c r="C38" s="17" t="s">
        <v>111</v>
      </c>
      <c r="D38" s="207">
        <f>D16/1098037388-1</f>
        <v>0.33055852283966125</v>
      </c>
      <c r="E38" s="207">
        <f>E16/D16-1</f>
        <v>0.44955195215358223</v>
      </c>
      <c r="F38" s="207">
        <f>F16/E16-1</f>
        <v>0.35879511843819945</v>
      </c>
      <c r="G38" s="207">
        <f t="shared" ref="G38:K38" si="21">G16/F16-1</f>
        <v>0.22052161970717954</v>
      </c>
      <c r="H38" s="207">
        <f t="shared" si="21"/>
        <v>0.18034896905706943</v>
      </c>
      <c r="I38" s="207">
        <f t="shared" si="21"/>
        <v>0.15024522758225789</v>
      </c>
      <c r="J38" s="207">
        <f t="shared" si="21"/>
        <v>0.12016749568852392</v>
      </c>
      <c r="K38" s="207">
        <f t="shared" si="21"/>
        <v>0.10012222534453397</v>
      </c>
    </row>
    <row r="39" spans="3:11" ht="15" customHeight="1" x14ac:dyDescent="0.25">
      <c r="C39" s="17" t="s">
        <v>112</v>
      </c>
      <c r="D39" s="22">
        <f>D18/D16</f>
        <v>0.32318065150043956</v>
      </c>
      <c r="E39" s="22">
        <f>E18/E16</f>
        <v>0.32665697943667438</v>
      </c>
      <c r="F39" s="22">
        <f>F18/F16</f>
        <v>0.33155944350266503</v>
      </c>
      <c r="G39" s="235">
        <f>AVERAGE(D39:F39)</f>
        <v>0.32713235814659297</v>
      </c>
      <c r="H39" s="235">
        <f>G39</f>
        <v>0.32713235814659297</v>
      </c>
      <c r="I39" s="235">
        <f t="shared" ref="I39:K39" si="22">H39</f>
        <v>0.32713235814659297</v>
      </c>
      <c r="J39" s="235">
        <f t="shared" si="22"/>
        <v>0.32713235814659297</v>
      </c>
      <c r="K39" s="235">
        <f t="shared" si="22"/>
        <v>0.32713235814659297</v>
      </c>
    </row>
    <row r="40" spans="3:11" ht="15" customHeight="1" x14ac:dyDescent="0.25">
      <c r="C40" s="17" t="s">
        <v>24</v>
      </c>
      <c r="D40" s="208"/>
      <c r="E40" s="208">
        <f>-SUM(E29:E30)/E28</f>
        <v>0.11430858278934766</v>
      </c>
      <c r="F40" s="208">
        <f t="shared" ref="F40" si="23">-SUM(F29:F30)/F28</f>
        <v>0.23303957382964791</v>
      </c>
      <c r="G40" s="235">
        <v>0.22500000000000001</v>
      </c>
      <c r="H40" s="235">
        <f>G40</f>
        <v>0.22500000000000001</v>
      </c>
      <c r="I40" s="235">
        <f t="shared" ref="I40:K41" si="24">H40</f>
        <v>0.22500000000000001</v>
      </c>
      <c r="J40" s="235">
        <f t="shared" si="24"/>
        <v>0.22500000000000001</v>
      </c>
      <c r="K40" s="235">
        <f t="shared" si="24"/>
        <v>0.22500000000000001</v>
      </c>
    </row>
    <row r="41" spans="3:11" ht="15" customHeight="1" x14ac:dyDescent="0.25">
      <c r="C41" s="17" t="s">
        <v>390</v>
      </c>
      <c r="D41" s="208"/>
      <c r="E41" s="208"/>
      <c r="F41" s="208"/>
      <c r="G41" s="235">
        <v>0.25</v>
      </c>
      <c r="H41" s="235">
        <f>G41</f>
        <v>0.25</v>
      </c>
      <c r="I41" s="235">
        <f t="shared" si="24"/>
        <v>0.25</v>
      </c>
      <c r="J41" s="235">
        <f t="shared" si="24"/>
        <v>0.25</v>
      </c>
      <c r="K41" s="235">
        <f t="shared" si="24"/>
        <v>0.25</v>
      </c>
    </row>
    <row r="42" spans="3:11" ht="15" customHeight="1" x14ac:dyDescent="0.25">
      <c r="C42" s="17"/>
      <c r="D42" s="208"/>
      <c r="E42" s="208"/>
      <c r="F42" s="208"/>
      <c r="G42" s="235"/>
      <c r="H42" s="235"/>
      <c r="I42" s="235"/>
      <c r="J42" s="235"/>
      <c r="K42" s="235"/>
    </row>
    <row r="43" spans="3:11" ht="15" customHeight="1" x14ac:dyDescent="0.25">
      <c r="C43" s="38" t="s">
        <v>303</v>
      </c>
      <c r="D43" s="239"/>
      <c r="E43" s="45"/>
      <c r="F43" s="45"/>
      <c r="G43" s="39"/>
      <c r="H43" s="39"/>
      <c r="I43" s="39"/>
      <c r="J43" s="39"/>
      <c r="K43" s="39"/>
    </row>
    <row r="44" spans="3:11" ht="15" customHeight="1" x14ac:dyDescent="0.25">
      <c r="C44" t="s">
        <v>107</v>
      </c>
      <c r="D44" s="40">
        <f t="shared" ref="D44:K44" si="25">D$13</f>
        <v>2023</v>
      </c>
      <c r="E44" s="40">
        <f t="shared" si="25"/>
        <v>2024</v>
      </c>
      <c r="F44" s="40">
        <f t="shared" si="25"/>
        <v>2025</v>
      </c>
      <c r="G44" s="41">
        <f t="shared" si="25"/>
        <v>2026</v>
      </c>
      <c r="H44" s="41">
        <f t="shared" si="25"/>
        <v>2027</v>
      </c>
      <c r="I44" s="41">
        <f t="shared" si="25"/>
        <v>2028</v>
      </c>
      <c r="J44" s="41">
        <f t="shared" si="25"/>
        <v>2029</v>
      </c>
      <c r="K44" s="41">
        <f t="shared" si="25"/>
        <v>2030</v>
      </c>
    </row>
    <row r="45" spans="3:11" ht="15" customHeight="1" x14ac:dyDescent="0.25">
      <c r="C45" s="42" t="s">
        <v>108</v>
      </c>
      <c r="D45" s="238">
        <f t="shared" ref="D45:K45" si="26">D$14</f>
        <v>45291</v>
      </c>
      <c r="E45" s="224">
        <f t="shared" si="26"/>
        <v>45657</v>
      </c>
      <c r="F45" s="224">
        <f t="shared" si="26"/>
        <v>46022</v>
      </c>
      <c r="G45" s="224">
        <f t="shared" si="26"/>
        <v>46387</v>
      </c>
      <c r="H45" s="224">
        <f t="shared" si="26"/>
        <v>46752</v>
      </c>
      <c r="I45" s="224">
        <f t="shared" si="26"/>
        <v>47118</v>
      </c>
      <c r="J45" s="224">
        <f t="shared" si="26"/>
        <v>47483</v>
      </c>
      <c r="K45" s="224">
        <f t="shared" si="26"/>
        <v>47848</v>
      </c>
    </row>
    <row r="46" spans="3:11" ht="15" customHeight="1" x14ac:dyDescent="0.25">
      <c r="C46" s="17"/>
      <c r="D46" s="208"/>
      <c r="E46" s="208"/>
      <c r="F46" s="208"/>
      <c r="G46" s="235"/>
      <c r="H46" s="235"/>
      <c r="I46" s="235"/>
      <c r="J46" s="235"/>
      <c r="K46" s="235"/>
    </row>
    <row r="47" spans="3:11" ht="15" customHeight="1" x14ac:dyDescent="0.25">
      <c r="C47" s="223" t="s">
        <v>283</v>
      </c>
      <c r="D47" s="185">
        <v>-198930816</v>
      </c>
      <c r="E47" s="185">
        <v>-277108013</v>
      </c>
      <c r="F47" s="185">
        <v>-380179028</v>
      </c>
      <c r="G47" s="183">
        <f>-G$16*G59</f>
        <v>-467270581.05520725</v>
      </c>
      <c r="H47" s="183">
        <f t="shared" ref="H47:K47" si="27">-H$16*H59</f>
        <v>-551542348.61921167</v>
      </c>
      <c r="I47" s="183">
        <f t="shared" si="27"/>
        <v>-634408954.30875814</v>
      </c>
      <c r="J47" s="183">
        <f t="shared" si="27"/>
        <v>-710644289.59041679</v>
      </c>
      <c r="K47" s="183">
        <f t="shared" si="27"/>
        <v>-781795577.29259467</v>
      </c>
    </row>
    <row r="48" spans="3:11" ht="15" customHeight="1" x14ac:dyDescent="0.25">
      <c r="C48" s="223" t="s">
        <v>284</v>
      </c>
      <c r="D48" s="185">
        <v>-100840540</v>
      </c>
      <c r="E48" s="185">
        <v>-118109354</v>
      </c>
      <c r="F48" s="185">
        <v>-178280004</v>
      </c>
      <c r="G48" s="183">
        <f>-G$16*G60</f>
        <v>-218630570.66044587</v>
      </c>
      <c r="H48" s="183">
        <f t="shared" ref="H48:K48" si="28">-H$16*H60</f>
        <v>-258060368.68341607</v>
      </c>
      <c r="I48" s="183">
        <f t="shared" si="28"/>
        <v>-296832707.5062173</v>
      </c>
      <c r="J48" s="183">
        <f t="shared" si="28"/>
        <v>-332502350.60568351</v>
      </c>
      <c r="K48" s="183">
        <f t="shared" si="28"/>
        <v>-365793225.88061297</v>
      </c>
    </row>
    <row r="49" spans="3:11" ht="15" customHeight="1" x14ac:dyDescent="0.25">
      <c r="C49" s="223" t="s">
        <v>285</v>
      </c>
      <c r="D49" s="185">
        <v>-8029570</v>
      </c>
      <c r="E49" s="185">
        <v>-6779710</v>
      </c>
      <c r="F49" s="185">
        <v>-27973094</v>
      </c>
      <c r="G49" s="183">
        <v>0</v>
      </c>
      <c r="H49" s="183">
        <f t="shared" ref="H49:K49" si="29">G49</f>
        <v>0</v>
      </c>
      <c r="I49" s="183">
        <f t="shared" si="29"/>
        <v>0</v>
      </c>
      <c r="J49" s="183">
        <f t="shared" si="29"/>
        <v>0</v>
      </c>
      <c r="K49" s="183">
        <f t="shared" si="29"/>
        <v>0</v>
      </c>
    </row>
    <row r="50" spans="3:11" ht="15" customHeight="1" x14ac:dyDescent="0.25">
      <c r="C50" s="223" t="s">
        <v>286</v>
      </c>
      <c r="D50" s="185">
        <v>2955281</v>
      </c>
      <c r="E50" s="185">
        <v>29580</v>
      </c>
      <c r="F50" s="185">
        <v>0</v>
      </c>
      <c r="G50" s="183">
        <f>F50</f>
        <v>0</v>
      </c>
      <c r="H50" s="183">
        <f t="shared" ref="H50:K50" si="30">G50</f>
        <v>0</v>
      </c>
      <c r="I50" s="183">
        <f t="shared" si="30"/>
        <v>0</v>
      </c>
      <c r="J50" s="183">
        <f t="shared" si="30"/>
        <v>0</v>
      </c>
      <c r="K50" s="183">
        <f t="shared" si="30"/>
        <v>0</v>
      </c>
    </row>
    <row r="51" spans="3:11" ht="15" customHeight="1" x14ac:dyDescent="0.25">
      <c r="C51" s="223" t="s">
        <v>287</v>
      </c>
      <c r="D51" s="185">
        <v>0</v>
      </c>
      <c r="E51" s="185">
        <v>-510405</v>
      </c>
      <c r="F51" s="185">
        <v>-253835</v>
      </c>
      <c r="G51" s="183">
        <v>0</v>
      </c>
      <c r="H51" s="183">
        <f t="shared" ref="H51:K51" si="31">G51</f>
        <v>0</v>
      </c>
      <c r="I51" s="183">
        <f t="shared" si="31"/>
        <v>0</v>
      </c>
      <c r="J51" s="183">
        <f t="shared" si="31"/>
        <v>0</v>
      </c>
      <c r="K51" s="183">
        <f t="shared" si="31"/>
        <v>0</v>
      </c>
    </row>
    <row r="52" spans="3:11" ht="15" customHeight="1" x14ac:dyDescent="0.25">
      <c r="C52" s="223" t="s">
        <v>288</v>
      </c>
      <c r="D52" s="185">
        <v>90349</v>
      </c>
      <c r="E52" s="185">
        <v>0</v>
      </c>
      <c r="F52" s="185">
        <v>425517</v>
      </c>
      <c r="G52" s="183">
        <v>0</v>
      </c>
      <c r="H52" s="183">
        <f t="shared" ref="H52:K52" si="32">G52</f>
        <v>0</v>
      </c>
      <c r="I52" s="183">
        <f t="shared" si="32"/>
        <v>0</v>
      </c>
      <c r="J52" s="183">
        <f t="shared" si="32"/>
        <v>0</v>
      </c>
      <c r="K52" s="183">
        <f t="shared" si="32"/>
        <v>0</v>
      </c>
    </row>
    <row r="53" spans="3:11" ht="15" customHeight="1" x14ac:dyDescent="0.25">
      <c r="C53" s="223" t="s">
        <v>289</v>
      </c>
      <c r="D53" s="185">
        <v>-2268481</v>
      </c>
      <c r="E53" s="185">
        <v>0</v>
      </c>
      <c r="F53" s="185">
        <v>0</v>
      </c>
      <c r="G53" s="183">
        <v>0</v>
      </c>
      <c r="H53" s="183">
        <f t="shared" ref="H53:K53" si="33">G53</f>
        <v>0</v>
      </c>
      <c r="I53" s="183">
        <f t="shared" si="33"/>
        <v>0</v>
      </c>
      <c r="J53" s="183">
        <f t="shared" si="33"/>
        <v>0</v>
      </c>
      <c r="K53" s="183">
        <f t="shared" si="33"/>
        <v>0</v>
      </c>
    </row>
    <row r="54" spans="3:11" ht="15" customHeight="1" x14ac:dyDescent="0.25">
      <c r="C54" s="223" t="s">
        <v>291</v>
      </c>
      <c r="D54" s="185">
        <v>-4500000</v>
      </c>
      <c r="E54" s="185">
        <v>-3600000</v>
      </c>
      <c r="F54" s="185">
        <v>-4140000</v>
      </c>
      <c r="G54" s="183">
        <f>F54</f>
        <v>-4140000</v>
      </c>
      <c r="H54" s="183">
        <f t="shared" ref="H54:K54" si="34">G54</f>
        <v>-4140000</v>
      </c>
      <c r="I54" s="183">
        <f t="shared" si="34"/>
        <v>-4140000</v>
      </c>
      <c r="J54" s="183">
        <f t="shared" si="34"/>
        <v>-4140000</v>
      </c>
      <c r="K54" s="183">
        <f t="shared" si="34"/>
        <v>-4140000</v>
      </c>
    </row>
    <row r="55" spans="3:11" ht="15" customHeight="1" x14ac:dyDescent="0.25">
      <c r="C55" s="223" t="s">
        <v>293</v>
      </c>
      <c r="D55" s="185">
        <v>-1064549</v>
      </c>
      <c r="E55" s="185">
        <v>-22364</v>
      </c>
      <c r="F55" s="185">
        <v>-1676835</v>
      </c>
      <c r="G55" s="183">
        <f>-G$16*G61</f>
        <v>-1547623.7606947916</v>
      </c>
      <c r="H55" s="183">
        <f t="shared" ref="H55:K55" si="35">-H$16*H61</f>
        <v>-1826736.1104243221</v>
      </c>
      <c r="I55" s="183">
        <f t="shared" si="35"/>
        <v>-2101194.493067753</v>
      </c>
      <c r="J55" s="183">
        <f t="shared" si="35"/>
        <v>-2353689.7732542222</v>
      </c>
      <c r="K55" s="183">
        <f t="shared" si="35"/>
        <v>-2589346.4311231063</v>
      </c>
    </row>
    <row r="56" spans="3:11" ht="15" customHeight="1" x14ac:dyDescent="0.25">
      <c r="C56" s="223" t="s">
        <v>294</v>
      </c>
      <c r="D56" s="185">
        <v>-265923</v>
      </c>
      <c r="E56" s="185">
        <v>265314</v>
      </c>
      <c r="F56" s="185">
        <v>-277677</v>
      </c>
      <c r="G56" s="183">
        <v>0</v>
      </c>
      <c r="H56" s="183">
        <f t="shared" ref="H56:K56" si="36">G56</f>
        <v>0</v>
      </c>
      <c r="I56" s="183">
        <f t="shared" si="36"/>
        <v>0</v>
      </c>
      <c r="J56" s="183">
        <f t="shared" si="36"/>
        <v>0</v>
      </c>
      <c r="K56" s="183">
        <f t="shared" si="36"/>
        <v>0</v>
      </c>
    </row>
    <row r="57" spans="3:11" s="13" customFormat="1" ht="15" customHeight="1" x14ac:dyDescent="0.25">
      <c r="C57" s="195" t="s">
        <v>302</v>
      </c>
      <c r="D57" s="14">
        <f t="shared" ref="D57:G57" si="37">SUM(D47:D56)</f>
        <v>-312854249</v>
      </c>
      <c r="E57" s="14">
        <f t="shared" si="37"/>
        <v>-405834952</v>
      </c>
      <c r="F57" s="14">
        <f t="shared" si="37"/>
        <v>-592354956</v>
      </c>
      <c r="G57" s="14">
        <f t="shared" si="37"/>
        <v>-691588775.47634792</v>
      </c>
      <c r="H57" s="14">
        <f t="shared" ref="H57" si="38">SUM(H47:H56)</f>
        <v>-815569453.41305208</v>
      </c>
      <c r="I57" s="14">
        <f t="shared" ref="I57" si="39">SUM(I47:I56)</f>
        <v>-937482856.30804324</v>
      </c>
      <c r="J57" s="14">
        <f t="shared" ref="J57" si="40">SUM(J47:J56)</f>
        <v>-1049640329.9693545</v>
      </c>
      <c r="K57" s="14">
        <f t="shared" ref="K57" si="41">SUM(K47:K56)</f>
        <v>-1154318149.6043308</v>
      </c>
    </row>
    <row r="58" spans="3:11" ht="15" customHeight="1" x14ac:dyDescent="0.25">
      <c r="C58" s="17"/>
      <c r="D58" s="208"/>
      <c r="E58" s="208"/>
      <c r="F58" s="208"/>
      <c r="G58" s="235"/>
      <c r="H58" s="235"/>
      <c r="I58" s="235"/>
      <c r="J58" s="235"/>
      <c r="K58" s="235"/>
    </row>
    <row r="59" spans="3:11" s="328" customFormat="1" ht="15" customHeight="1" x14ac:dyDescent="0.25">
      <c r="C59" s="328" t="str">
        <f>C47&amp;" % of revenue"</f>
        <v>Selling and Marketing Expenses % of revenue</v>
      </c>
      <c r="D59" s="1">
        <f>-D47/D$16</f>
        <v>0.13616044273639258</v>
      </c>
      <c r="E59" s="1">
        <f t="shared" ref="E59:F59" si="42">-E47/E$16</f>
        <v>0.13084712657711051</v>
      </c>
      <c r="F59" s="1">
        <f t="shared" si="42"/>
        <v>0.13211413440907518</v>
      </c>
      <c r="G59" s="209">
        <f>AVERAGE(D59:F59)</f>
        <v>0.13304056790752608</v>
      </c>
      <c r="H59" s="209">
        <f>G59</f>
        <v>0.13304056790752608</v>
      </c>
      <c r="I59" s="209">
        <f t="shared" ref="I59:K59" si="43">H59</f>
        <v>0.13304056790752608</v>
      </c>
      <c r="J59" s="209">
        <f t="shared" si="43"/>
        <v>0.13304056790752608</v>
      </c>
      <c r="K59" s="209">
        <f t="shared" si="43"/>
        <v>0.13304056790752608</v>
      </c>
    </row>
    <row r="60" spans="3:11" s="328" customFormat="1" ht="15" customHeight="1" x14ac:dyDescent="0.25">
      <c r="C60" s="328" t="str">
        <f>C48&amp;" % of revenue"</f>
        <v>General and Administrative Expenses % of revenue</v>
      </c>
      <c r="D60" s="1">
        <f>-D48/D$16</f>
        <v>6.9021445989428332E-2</v>
      </c>
      <c r="E60" s="1">
        <f t="shared" ref="E60:F60" si="44">-E48/E$16</f>
        <v>5.5769840162574989E-2</v>
      </c>
      <c r="F60" s="1">
        <f t="shared" si="44"/>
        <v>6.1953202770844214E-2</v>
      </c>
      <c r="G60" s="209">
        <f>AVERAGE(D60:F60)</f>
        <v>6.2248162974282512E-2</v>
      </c>
      <c r="H60" s="209">
        <f>G60</f>
        <v>6.2248162974282512E-2</v>
      </c>
      <c r="I60" s="209">
        <f t="shared" ref="I60:K60" si="45">H60</f>
        <v>6.2248162974282512E-2</v>
      </c>
      <c r="J60" s="209">
        <f t="shared" si="45"/>
        <v>6.2248162974282512E-2</v>
      </c>
      <c r="K60" s="209">
        <f t="shared" si="45"/>
        <v>6.2248162974282512E-2</v>
      </c>
    </row>
    <row r="61" spans="3:11" s="328" customFormat="1" ht="15" customHeight="1" x14ac:dyDescent="0.25">
      <c r="C61" s="328" t="str">
        <f>C55&amp;" % of revenue"</f>
        <v>Expected Credit Loss (Trade &amp; Other Debtors) % of revenue</v>
      </c>
      <c r="D61" s="1">
        <f>-D55/D16</f>
        <v>7.2864258071803209E-4</v>
      </c>
      <c r="E61" s="1">
        <f>-E55/E16</f>
        <v>1.056001631670788E-5</v>
      </c>
      <c r="F61" s="1">
        <f>-F55/F16</f>
        <v>5.827086405508974E-4</v>
      </c>
      <c r="G61" s="209">
        <f>AVERAGE(D61:F61)</f>
        <v>4.4063707919521247E-4</v>
      </c>
      <c r="H61" s="209">
        <f>G61</f>
        <v>4.4063707919521247E-4</v>
      </c>
      <c r="I61" s="209">
        <f t="shared" ref="I61:K61" si="46">H61</f>
        <v>4.4063707919521247E-4</v>
      </c>
      <c r="J61" s="209">
        <f t="shared" si="46"/>
        <v>4.4063707919521247E-4</v>
      </c>
      <c r="K61" s="209">
        <f t="shared" si="46"/>
        <v>4.4063707919521247E-4</v>
      </c>
    </row>
    <row r="62" spans="3:11" ht="15" customHeight="1" x14ac:dyDescent="0.25">
      <c r="C62" s="17"/>
      <c r="D62" s="23"/>
      <c r="E62" s="23"/>
      <c r="F62" s="23"/>
      <c r="G62" s="23"/>
      <c r="H62" s="23"/>
      <c r="I62" s="23"/>
      <c r="J62" s="23"/>
      <c r="K62" s="23"/>
    </row>
    <row r="63" spans="3:11" x14ac:dyDescent="0.25">
      <c r="C63" s="38" t="s">
        <v>113</v>
      </c>
      <c r="D63" s="239"/>
      <c r="E63" s="45"/>
      <c r="F63" s="45"/>
      <c r="G63" s="39"/>
      <c r="H63" s="39"/>
      <c r="I63" s="39"/>
      <c r="J63" s="39"/>
      <c r="K63" s="39"/>
    </row>
    <row r="64" spans="3:11" x14ac:dyDescent="0.25">
      <c r="C64" t="s">
        <v>107</v>
      </c>
      <c r="D64" s="40">
        <f t="shared" ref="D64:K64" si="47">D$13</f>
        <v>2023</v>
      </c>
      <c r="E64" s="40">
        <f t="shared" si="47"/>
        <v>2024</v>
      </c>
      <c r="F64" s="40">
        <f t="shared" si="47"/>
        <v>2025</v>
      </c>
      <c r="G64" s="41">
        <f t="shared" si="47"/>
        <v>2026</v>
      </c>
      <c r="H64" s="41">
        <f t="shared" si="47"/>
        <v>2027</v>
      </c>
      <c r="I64" s="41">
        <f t="shared" si="47"/>
        <v>2028</v>
      </c>
      <c r="J64" s="41">
        <f t="shared" si="47"/>
        <v>2029</v>
      </c>
      <c r="K64" s="41">
        <f t="shared" si="47"/>
        <v>2030</v>
      </c>
    </row>
    <row r="65" spans="3:11" x14ac:dyDescent="0.25">
      <c r="C65" s="42" t="s">
        <v>108</v>
      </c>
      <c r="D65" s="238">
        <f t="shared" ref="D65:K65" si="48">D$14</f>
        <v>45291</v>
      </c>
      <c r="E65" s="224">
        <f t="shared" si="48"/>
        <v>45657</v>
      </c>
      <c r="F65" s="224">
        <f t="shared" si="48"/>
        <v>46022</v>
      </c>
      <c r="G65" s="224">
        <f t="shared" si="48"/>
        <v>46387</v>
      </c>
      <c r="H65" s="224">
        <f t="shared" si="48"/>
        <v>46752</v>
      </c>
      <c r="I65" s="224">
        <f t="shared" si="48"/>
        <v>47118</v>
      </c>
      <c r="J65" s="224">
        <f t="shared" si="48"/>
        <v>47483</v>
      </c>
      <c r="K65" s="224">
        <f t="shared" si="48"/>
        <v>47848</v>
      </c>
    </row>
    <row r="66" spans="3:11" s="35" customFormat="1" ht="15" customHeight="1" x14ac:dyDescent="0.25">
      <c r="C66" s="44" t="s">
        <v>114</v>
      </c>
    </row>
    <row r="67" spans="3:11" ht="15" customHeight="1" x14ac:dyDescent="0.25"/>
    <row r="68" spans="3:11" ht="15" customHeight="1" x14ac:dyDescent="0.25">
      <c r="C68" s="13" t="s">
        <v>115</v>
      </c>
    </row>
    <row r="69" spans="3:11" ht="15" customHeight="1" x14ac:dyDescent="0.25">
      <c r="C69" s="17" t="s">
        <v>320</v>
      </c>
      <c r="D69" s="10">
        <v>5100922</v>
      </c>
      <c r="E69" s="10">
        <v>15652146</v>
      </c>
      <c r="F69" s="10">
        <v>201661238</v>
      </c>
      <c r="G69" s="183">
        <f>F69</f>
        <v>201661238</v>
      </c>
      <c r="H69" s="183">
        <f t="shared" ref="H69:K69" si="49">G69</f>
        <v>201661238</v>
      </c>
      <c r="I69" s="183">
        <f t="shared" si="49"/>
        <v>201661238</v>
      </c>
      <c r="J69" s="183">
        <f t="shared" si="49"/>
        <v>201661238</v>
      </c>
      <c r="K69" s="183">
        <f t="shared" si="49"/>
        <v>201661238</v>
      </c>
    </row>
    <row r="70" spans="3:11" ht="15" customHeight="1" x14ac:dyDescent="0.25">
      <c r="C70" s="17" t="s">
        <v>321</v>
      </c>
      <c r="D70" s="10">
        <v>138912639</v>
      </c>
      <c r="E70" s="10">
        <v>208473803</v>
      </c>
      <c r="F70" s="10">
        <v>258826409</v>
      </c>
      <c r="G70" s="19">
        <f>G198</f>
        <v>331829223.09092742</v>
      </c>
      <c r="H70" s="19">
        <f t="shared" ref="H70:K70" si="50">H198</f>
        <v>391674281.37838453</v>
      </c>
      <c r="I70" s="19">
        <f t="shared" si="50"/>
        <v>450521472.92219722</v>
      </c>
      <c r="J70" s="19">
        <f t="shared" si="50"/>
        <v>504659510.07716274</v>
      </c>
      <c r="K70" s="19">
        <f t="shared" si="50"/>
        <v>555187143.26737046</v>
      </c>
    </row>
    <row r="71" spans="3:11" ht="15" customHeight="1" x14ac:dyDescent="0.25">
      <c r="C71" s="17" t="s">
        <v>322</v>
      </c>
      <c r="D71" s="10">
        <v>16938225</v>
      </c>
      <c r="E71" s="10">
        <v>27584770</v>
      </c>
      <c r="F71" s="10">
        <v>31142087</v>
      </c>
      <c r="G71" s="19">
        <f>G199</f>
        <v>38009590.466301903</v>
      </c>
      <c r="H71" s="19">
        <f t="shared" ref="H71:K71" si="51">H199</f>
        <v>44864580.921180867</v>
      </c>
      <c r="I71" s="19">
        <f t="shared" si="51"/>
        <v>51605270.09206631</v>
      </c>
      <c r="J71" s="19">
        <f t="shared" si="51"/>
        <v>57806546.163359798</v>
      </c>
      <c r="K71" s="19">
        <f t="shared" si="51"/>
        <v>63594266.204716906</v>
      </c>
    </row>
    <row r="72" spans="3:11" ht="15" customHeight="1" x14ac:dyDescent="0.25">
      <c r="C72" s="17" t="s">
        <v>323</v>
      </c>
      <c r="D72" s="10">
        <v>39168713</v>
      </c>
      <c r="E72" s="10">
        <v>51382391</v>
      </c>
      <c r="F72" s="10">
        <v>69499941</v>
      </c>
      <c r="G72" s="19">
        <f>G200</f>
        <v>84826180.558873415</v>
      </c>
      <c r="H72" s="19">
        <f t="shared" ref="H72:K72" si="52">H200</f>
        <v>100124494.77171507</v>
      </c>
      <c r="I72" s="19">
        <f t="shared" si="52"/>
        <v>115167722.27524999</v>
      </c>
      <c r="J72" s="19">
        <f t="shared" si="52"/>
        <v>129007139.04521821</v>
      </c>
      <c r="K72" s="19">
        <f t="shared" si="52"/>
        <v>141923620.89175716</v>
      </c>
    </row>
    <row r="73" spans="3:11" ht="15" customHeight="1" x14ac:dyDescent="0.25">
      <c r="C73" s="17" t="s">
        <v>324</v>
      </c>
      <c r="D73" s="10">
        <v>4251648</v>
      </c>
      <c r="E73" s="10">
        <v>3388601</v>
      </c>
      <c r="F73" s="10">
        <v>0</v>
      </c>
      <c r="G73" s="19">
        <f>G201</f>
        <v>0</v>
      </c>
      <c r="H73" s="19">
        <f t="shared" ref="H73:K73" si="53">H201</f>
        <v>0</v>
      </c>
      <c r="I73" s="19">
        <f t="shared" si="53"/>
        <v>0</v>
      </c>
      <c r="J73" s="19">
        <f t="shared" si="53"/>
        <v>0</v>
      </c>
      <c r="K73" s="19">
        <f t="shared" si="53"/>
        <v>0</v>
      </c>
    </row>
    <row r="74" spans="3:11" ht="15" customHeight="1" x14ac:dyDescent="0.25">
      <c r="C74" s="17" t="s">
        <v>325</v>
      </c>
      <c r="D74" s="10">
        <v>66602816</v>
      </c>
      <c r="E74" s="10">
        <v>77553111</v>
      </c>
      <c r="F74" s="10">
        <v>104342521</v>
      </c>
      <c r="G74" s="19">
        <f>G154</f>
        <v>162678248.62656695</v>
      </c>
      <c r="H74" s="19">
        <f t="shared" ref="H74:K74" si="54">H154</f>
        <v>296946245.70045131</v>
      </c>
      <c r="I74" s="19">
        <f t="shared" si="54"/>
        <v>449134211.00696623</v>
      </c>
      <c r="J74" s="19">
        <f t="shared" si="54"/>
        <v>611921130.17115283</v>
      </c>
      <c r="K74" s="19">
        <f t="shared" si="54"/>
        <v>794829936.74343967</v>
      </c>
    </row>
    <row r="75" spans="3:11" ht="15" customHeight="1" x14ac:dyDescent="0.25">
      <c r="C75" s="11" t="s">
        <v>116</v>
      </c>
      <c r="D75" s="12">
        <f>SUM(D69:D74)</f>
        <v>270974963</v>
      </c>
      <c r="E75" s="12">
        <f t="shared" ref="E75:G75" si="55">SUM(E69:E74)</f>
        <v>384034822</v>
      </c>
      <c r="F75" s="12">
        <f t="shared" si="55"/>
        <v>665472196</v>
      </c>
      <c r="G75" s="12">
        <f t="shared" si="55"/>
        <v>819004480.74266958</v>
      </c>
      <c r="H75" s="12">
        <f t="shared" ref="H75" si="56">SUM(H69:H74)</f>
        <v>1035270840.7717319</v>
      </c>
      <c r="I75" s="12">
        <f t="shared" ref="I75" si="57">SUM(I69:I74)</f>
        <v>1268089914.2964797</v>
      </c>
      <c r="J75" s="12">
        <f t="shared" ref="J75" si="58">SUM(J69:J74)</f>
        <v>1505055563.4568934</v>
      </c>
      <c r="K75" s="12">
        <f t="shared" ref="K75" si="59">SUM(K69:K74)</f>
        <v>1757196205.1072841</v>
      </c>
    </row>
    <row r="76" spans="3:11" ht="15" customHeight="1" x14ac:dyDescent="0.25">
      <c r="E76" s="18"/>
      <c r="F76" s="18"/>
      <c r="G76" s="18"/>
      <c r="H76" s="18"/>
      <c r="I76" s="18"/>
      <c r="J76" s="18"/>
      <c r="K76" s="18"/>
    </row>
    <row r="77" spans="3:11" ht="15" customHeight="1" x14ac:dyDescent="0.25">
      <c r="C77" s="13" t="s">
        <v>117</v>
      </c>
      <c r="E77" s="18"/>
      <c r="F77" s="18"/>
      <c r="G77" s="18"/>
      <c r="H77" s="18"/>
      <c r="I77" s="18"/>
      <c r="J77" s="18"/>
      <c r="K77" s="18"/>
    </row>
    <row r="78" spans="3:11" ht="15" customHeight="1" x14ac:dyDescent="0.25">
      <c r="C78" s="24" t="s">
        <v>314</v>
      </c>
      <c r="D78" s="10">
        <v>174116983</v>
      </c>
      <c r="E78" s="10">
        <v>190534890</v>
      </c>
      <c r="F78" s="10">
        <v>163149183</v>
      </c>
      <c r="G78" s="19">
        <f>G165</f>
        <v>162859826.25823522</v>
      </c>
      <c r="H78" s="19">
        <f t="shared" ref="H78:K78" si="60">H165</f>
        <v>210424270.16969454</v>
      </c>
      <c r="I78" s="19">
        <f t="shared" si="60"/>
        <v>260122125.55112803</v>
      </c>
      <c r="J78" s="19">
        <f t="shared" si="60"/>
        <v>310493452.85646588</v>
      </c>
      <c r="K78" s="19">
        <f t="shared" si="60"/>
        <v>360627788.70520514</v>
      </c>
    </row>
    <row r="79" spans="3:11" ht="15" customHeight="1" x14ac:dyDescent="0.25">
      <c r="C79" s="17" t="s">
        <v>315</v>
      </c>
      <c r="D79" s="10">
        <v>27899321</v>
      </c>
      <c r="E79" s="10">
        <v>21004672</v>
      </c>
      <c r="F79" s="10">
        <v>14066392</v>
      </c>
      <c r="G79" s="19">
        <f>G302</f>
        <v>9066392</v>
      </c>
      <c r="H79" s="19">
        <f t="shared" ref="H79:K79" si="61">H302</f>
        <v>6066392</v>
      </c>
      <c r="I79" s="19">
        <f t="shared" si="61"/>
        <v>4066392</v>
      </c>
      <c r="J79" s="19">
        <f t="shared" si="61"/>
        <v>3066392</v>
      </c>
      <c r="K79" s="19">
        <f t="shared" si="61"/>
        <v>3066392</v>
      </c>
    </row>
    <row r="80" spans="3:11" ht="15" customHeight="1" x14ac:dyDescent="0.25">
      <c r="C80" s="17" t="s">
        <v>316</v>
      </c>
      <c r="D80" s="10">
        <v>142503563</v>
      </c>
      <c r="E80" s="10">
        <v>130756082</v>
      </c>
      <c r="F80" s="10">
        <v>136387942</v>
      </c>
      <c r="G80" s="19">
        <f>G289</f>
        <v>138371018.67622459</v>
      </c>
      <c r="H80" s="19">
        <f t="shared" ref="H80:K80" si="62">H289</f>
        <v>140711741.1865674</v>
      </c>
      <c r="I80" s="19">
        <f t="shared" si="62"/>
        <v>143404146.08318356</v>
      </c>
      <c r="J80" s="19">
        <f t="shared" si="62"/>
        <v>146420090.53360564</v>
      </c>
      <c r="K80" s="19">
        <f t="shared" si="62"/>
        <v>149737998.05391949</v>
      </c>
    </row>
    <row r="81" spans="3:11" ht="15" customHeight="1" x14ac:dyDescent="0.25">
      <c r="C81" s="17" t="s">
        <v>317</v>
      </c>
      <c r="D81" s="10">
        <v>255064</v>
      </c>
      <c r="E81" s="10">
        <v>5162949</v>
      </c>
      <c r="F81" s="10">
        <v>10198171</v>
      </c>
      <c r="G81" s="19">
        <f>F81</f>
        <v>10198171</v>
      </c>
      <c r="H81" s="19">
        <f t="shared" ref="H81:K81" si="63">G81</f>
        <v>10198171</v>
      </c>
      <c r="I81" s="19">
        <f t="shared" si="63"/>
        <v>10198171</v>
      </c>
      <c r="J81" s="19">
        <f t="shared" si="63"/>
        <v>10198171</v>
      </c>
      <c r="K81" s="19">
        <f t="shared" si="63"/>
        <v>10198171</v>
      </c>
    </row>
    <row r="82" spans="3:11" ht="15" customHeight="1" x14ac:dyDescent="0.25">
      <c r="C82" s="17" t="s">
        <v>318</v>
      </c>
      <c r="D82" s="10">
        <v>11802869</v>
      </c>
      <c r="E82" s="10">
        <v>10104432</v>
      </c>
      <c r="F82" s="10">
        <v>34362040</v>
      </c>
      <c r="G82" s="19">
        <f>F82</f>
        <v>34362040</v>
      </c>
      <c r="H82" s="19">
        <f t="shared" ref="H82:K82" si="64">G82</f>
        <v>34362040</v>
      </c>
      <c r="I82" s="19">
        <f t="shared" si="64"/>
        <v>34362040</v>
      </c>
      <c r="J82" s="19">
        <f t="shared" si="64"/>
        <v>34362040</v>
      </c>
      <c r="K82" s="19">
        <f t="shared" si="64"/>
        <v>34362040</v>
      </c>
    </row>
    <row r="83" spans="3:11" ht="15" customHeight="1" x14ac:dyDescent="0.25">
      <c r="C83" s="17" t="s">
        <v>319</v>
      </c>
      <c r="D83" s="10">
        <v>38905695</v>
      </c>
      <c r="E83" s="10">
        <v>38905695</v>
      </c>
      <c r="F83" s="10">
        <v>38905695</v>
      </c>
      <c r="G83" s="19">
        <f>F83</f>
        <v>38905695</v>
      </c>
      <c r="H83" s="19">
        <f t="shared" ref="H83:K83" si="65">G83</f>
        <v>38905695</v>
      </c>
      <c r="I83" s="19">
        <f t="shared" si="65"/>
        <v>38905695</v>
      </c>
      <c r="J83" s="19">
        <f t="shared" si="65"/>
        <v>38905695</v>
      </c>
      <c r="K83" s="19">
        <f t="shared" si="65"/>
        <v>38905695</v>
      </c>
    </row>
    <row r="84" spans="3:11" ht="15" customHeight="1" x14ac:dyDescent="0.25">
      <c r="C84" s="11" t="s">
        <v>118</v>
      </c>
      <c r="D84" s="12">
        <f>SUM(D78:D83)</f>
        <v>395483495</v>
      </c>
      <c r="E84" s="12">
        <f t="shared" ref="E84:G84" si="66">SUM(E78:E83)</f>
        <v>396468720</v>
      </c>
      <c r="F84" s="12">
        <f t="shared" si="66"/>
        <v>397069423</v>
      </c>
      <c r="G84" s="12">
        <f t="shared" si="66"/>
        <v>393763142.93445981</v>
      </c>
      <c r="H84" s="12">
        <f t="shared" ref="H84" si="67">SUM(H78:H83)</f>
        <v>440668309.35626197</v>
      </c>
      <c r="I84" s="12">
        <f t="shared" ref="I84" si="68">SUM(I78:I83)</f>
        <v>491058569.63431156</v>
      </c>
      <c r="J84" s="12">
        <f t="shared" ref="J84" si="69">SUM(J78:J83)</f>
        <v>543445841.39007151</v>
      </c>
      <c r="K84" s="12">
        <f t="shared" ref="K84" si="70">SUM(K78:K83)</f>
        <v>596898084.75912464</v>
      </c>
    </row>
    <row r="85" spans="3:11" ht="15" customHeight="1" x14ac:dyDescent="0.25">
      <c r="E85" s="19"/>
      <c r="F85" s="19"/>
      <c r="G85" s="19"/>
      <c r="H85" s="19"/>
      <c r="I85" s="19"/>
      <c r="J85" s="19"/>
      <c r="K85" s="19"/>
    </row>
    <row r="86" spans="3:11" ht="15" customHeight="1" x14ac:dyDescent="0.25">
      <c r="C86" s="13" t="s">
        <v>119</v>
      </c>
      <c r="D86" s="14">
        <f>D75+D84</f>
        <v>666458458</v>
      </c>
      <c r="E86" s="14">
        <f>E75+E84</f>
        <v>780503542</v>
      </c>
      <c r="F86" s="14">
        <f>F75+F84</f>
        <v>1062541619</v>
      </c>
      <c r="G86" s="14">
        <f>G75+G84</f>
        <v>1212767623.6771293</v>
      </c>
      <c r="H86" s="14">
        <f t="shared" ref="H86:K86" si="71">H75+H84</f>
        <v>1475939150.1279938</v>
      </c>
      <c r="I86" s="14">
        <f t="shared" si="71"/>
        <v>1759148483.9307914</v>
      </c>
      <c r="J86" s="14">
        <f t="shared" si="71"/>
        <v>2048501404.8469648</v>
      </c>
      <c r="K86" s="14">
        <f t="shared" si="71"/>
        <v>2354094289.8664088</v>
      </c>
    </row>
    <row r="87" spans="3:11" ht="15" customHeight="1" x14ac:dyDescent="0.25">
      <c r="E87" s="18"/>
      <c r="F87" s="18"/>
      <c r="G87" s="18"/>
      <c r="H87" s="18"/>
      <c r="I87" s="18"/>
      <c r="J87" s="18"/>
      <c r="K87" s="18"/>
    </row>
    <row r="88" spans="3:11" s="35" customFormat="1" ht="15" customHeight="1" x14ac:dyDescent="0.25">
      <c r="C88" s="44" t="s">
        <v>120</v>
      </c>
      <c r="D88" s="240"/>
      <c r="E88" s="46"/>
      <c r="F88" s="46"/>
      <c r="G88" s="214"/>
      <c r="H88" s="214"/>
      <c r="I88" s="214"/>
      <c r="J88" s="214"/>
      <c r="K88" s="214"/>
    </row>
    <row r="89" spans="3:11" ht="15" customHeight="1" x14ac:dyDescent="0.25">
      <c r="E89" s="18"/>
      <c r="F89" s="18"/>
      <c r="G89" s="18"/>
      <c r="H89" s="18"/>
      <c r="I89" s="18"/>
      <c r="J89" s="18"/>
      <c r="K89" s="18"/>
    </row>
    <row r="90" spans="3:11" ht="15" customHeight="1" x14ac:dyDescent="0.25">
      <c r="C90" s="13" t="s">
        <v>121</v>
      </c>
      <c r="E90" s="18"/>
      <c r="F90" s="18"/>
      <c r="G90" s="18"/>
      <c r="H90" s="18"/>
      <c r="I90" s="18"/>
      <c r="J90" s="18"/>
      <c r="K90" s="18"/>
    </row>
    <row r="91" spans="3:11" ht="15" customHeight="1" x14ac:dyDescent="0.25">
      <c r="C91" s="17" t="s">
        <v>333</v>
      </c>
      <c r="D91" s="10">
        <v>19153725</v>
      </c>
      <c r="E91" s="10">
        <v>18490310</v>
      </c>
      <c r="F91" s="10">
        <v>40944049</v>
      </c>
      <c r="G91" s="19">
        <f>F91</f>
        <v>40944049</v>
      </c>
      <c r="H91" s="19">
        <f t="shared" ref="H91:K91" si="72">G91</f>
        <v>40944049</v>
      </c>
      <c r="I91" s="19">
        <f t="shared" si="72"/>
        <v>40944049</v>
      </c>
      <c r="J91" s="19">
        <f t="shared" si="72"/>
        <v>40944049</v>
      </c>
      <c r="K91" s="19">
        <f t="shared" si="72"/>
        <v>40944049</v>
      </c>
    </row>
    <row r="92" spans="3:11" ht="15" customHeight="1" x14ac:dyDescent="0.25">
      <c r="C92" s="17" t="s">
        <v>334</v>
      </c>
      <c r="D92" s="10">
        <v>0</v>
      </c>
      <c r="E92" s="10">
        <v>22336568</v>
      </c>
      <c r="F92" s="10">
        <v>69211808</v>
      </c>
      <c r="G92" s="19">
        <f>-G29*G41</f>
        <v>20994293.679593079</v>
      </c>
      <c r="H92" s="19">
        <f t="shared" ref="H92:K92" si="73">-H29*H41</f>
        <v>25302226.382132541</v>
      </c>
      <c r="I92" s="19">
        <f t="shared" si="73"/>
        <v>29081389.300406858</v>
      </c>
      <c r="J92" s="19">
        <f t="shared" si="73"/>
        <v>32399760.525698546</v>
      </c>
      <c r="K92" s="19">
        <f t="shared" si="73"/>
        <v>35909925.506558694</v>
      </c>
    </row>
    <row r="93" spans="3:11" ht="15" customHeight="1" x14ac:dyDescent="0.25">
      <c r="C93" s="17" t="s">
        <v>335</v>
      </c>
      <c r="D93" s="10">
        <v>27922381</v>
      </c>
      <c r="E93" s="10">
        <v>26285124</v>
      </c>
      <c r="F93" s="10">
        <v>15935445</v>
      </c>
      <c r="G93" s="19">
        <f>G229-G231</f>
        <v>6441727</v>
      </c>
      <c r="H93" s="19">
        <f t="shared" ref="H93:K93" si="74">H229-H231</f>
        <v>0</v>
      </c>
      <c r="I93" s="19">
        <f t="shared" si="74"/>
        <v>0</v>
      </c>
      <c r="J93" s="19">
        <f t="shared" si="74"/>
        <v>0</v>
      </c>
      <c r="K93" s="19">
        <f t="shared" si="74"/>
        <v>0</v>
      </c>
    </row>
    <row r="94" spans="3:11" ht="15" customHeight="1" x14ac:dyDescent="0.25">
      <c r="C94" s="17" t="s">
        <v>336</v>
      </c>
      <c r="D94" s="10">
        <v>28819854</v>
      </c>
      <c r="E94" s="10">
        <v>31974757</v>
      </c>
      <c r="F94" s="10">
        <v>31685600</v>
      </c>
      <c r="G94" s="19">
        <f>G273*G274</f>
        <v>33810458.139595032</v>
      </c>
      <c r="H94" s="19">
        <f t="shared" ref="H94:K94" si="75">H273*H274</f>
        <v>36318532.254058547</v>
      </c>
      <c r="I94" s="19">
        <f t="shared" si="75"/>
        <v>39203432.534642808</v>
      </c>
      <c r="J94" s="19">
        <f t="shared" si="75"/>
        <v>42435004.057256006</v>
      </c>
      <c r="K94" s="19">
        <f t="shared" si="75"/>
        <v>45990127.712073244</v>
      </c>
    </row>
    <row r="95" spans="3:11" ht="15" customHeight="1" x14ac:dyDescent="0.25">
      <c r="C95" s="17" t="s">
        <v>337</v>
      </c>
      <c r="D95" s="10">
        <v>51401653</v>
      </c>
      <c r="E95" s="10">
        <v>1337751</v>
      </c>
      <c r="F95" s="10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</row>
    <row r="96" spans="3:11" ht="15" customHeight="1" x14ac:dyDescent="0.25">
      <c r="C96" s="17" t="s">
        <v>338</v>
      </c>
      <c r="D96" s="10">
        <v>157741673</v>
      </c>
      <c r="E96" s="10">
        <v>215771496</v>
      </c>
      <c r="F96" s="10">
        <v>242113642</v>
      </c>
      <c r="G96" s="19">
        <f>G205</f>
        <v>344016365.1439603</v>
      </c>
      <c r="H96" s="19">
        <f t="shared" ref="H96:K96" si="76">H205</f>
        <v>406059361.93643391</v>
      </c>
      <c r="I96" s="19">
        <f t="shared" si="76"/>
        <v>467067843.1824798</v>
      </c>
      <c r="J96" s="19">
        <f t="shared" si="76"/>
        <v>523194216.21435857</v>
      </c>
      <c r="K96" s="19">
        <f t="shared" si="76"/>
        <v>575577585.42912936</v>
      </c>
    </row>
    <row r="97" spans="3:12" ht="15" customHeight="1" x14ac:dyDescent="0.25">
      <c r="C97" s="17" t="s">
        <v>339</v>
      </c>
      <c r="D97" s="10">
        <v>30978907</v>
      </c>
      <c r="E97" s="10">
        <v>1030309</v>
      </c>
      <c r="F97" s="10">
        <v>3590464</v>
      </c>
      <c r="G97" s="19">
        <f>G207</f>
        <v>4382238.9367803186</v>
      </c>
      <c r="H97" s="19">
        <f t="shared" ref="H97:K97" si="77">H207</f>
        <v>5172571.2111903979</v>
      </c>
      <c r="I97" s="19">
        <f t="shared" si="77"/>
        <v>5949725.350001134</v>
      </c>
      <c r="J97" s="19">
        <f t="shared" si="77"/>
        <v>6664688.9453452965</v>
      </c>
      <c r="K97" s="19">
        <f t="shared" si="77"/>
        <v>7331972.4337823819</v>
      </c>
    </row>
    <row r="98" spans="3:12" ht="15" customHeight="1" x14ac:dyDescent="0.25">
      <c r="C98" s="17" t="s">
        <v>340</v>
      </c>
      <c r="D98" s="10">
        <v>88281718</v>
      </c>
      <c r="E98" s="10">
        <v>104670165</v>
      </c>
      <c r="F98" s="10">
        <v>134517644</v>
      </c>
      <c r="G98" s="19">
        <f>G206</f>
        <v>164181692.73407376</v>
      </c>
      <c r="H98" s="19">
        <f t="shared" ref="H98:K98" si="78">H206</f>
        <v>193791691.75670853</v>
      </c>
      <c r="I98" s="19">
        <f t="shared" si="78"/>
        <v>222907968.58824596</v>
      </c>
      <c r="J98" s="19">
        <f t="shared" si="78"/>
        <v>249694260.94251162</v>
      </c>
      <c r="K98" s="19">
        <f t="shared" si="78"/>
        <v>274694206.00383461</v>
      </c>
    </row>
    <row r="99" spans="3:12" ht="15" customHeight="1" x14ac:dyDescent="0.25">
      <c r="C99" s="17" t="s">
        <v>391</v>
      </c>
      <c r="D99" s="10">
        <v>0</v>
      </c>
      <c r="E99" s="10">
        <v>0</v>
      </c>
      <c r="F99" s="10">
        <v>80000000</v>
      </c>
      <c r="G99" s="19">
        <v>0</v>
      </c>
      <c r="H99" s="19">
        <f t="shared" ref="H99:K99" si="79">G99</f>
        <v>0</v>
      </c>
      <c r="I99" s="19">
        <f t="shared" si="79"/>
        <v>0</v>
      </c>
      <c r="J99" s="19">
        <f t="shared" si="79"/>
        <v>0</v>
      </c>
      <c r="K99" s="19">
        <f t="shared" si="79"/>
        <v>0</v>
      </c>
    </row>
    <row r="100" spans="3:12" ht="15" customHeight="1" x14ac:dyDescent="0.25">
      <c r="C100" s="11" t="s">
        <v>122</v>
      </c>
      <c r="D100" s="12">
        <f t="shared" ref="D100:E100" si="80">SUM(D91:D99)</f>
        <v>404299911</v>
      </c>
      <c r="E100" s="12">
        <f t="shared" si="80"/>
        <v>421896480</v>
      </c>
      <c r="F100" s="12">
        <f>SUM(F91:F99)</f>
        <v>617998652</v>
      </c>
      <c r="G100" s="12">
        <f t="shared" ref="G100:K100" si="81">SUM(G91:G99)</f>
        <v>614770824.63400245</v>
      </c>
      <c r="H100" s="12">
        <f t="shared" si="81"/>
        <v>707588432.54052401</v>
      </c>
      <c r="I100" s="12">
        <f t="shared" si="81"/>
        <v>805154407.95577657</v>
      </c>
      <c r="J100" s="12">
        <f t="shared" si="81"/>
        <v>895331979.68516994</v>
      </c>
      <c r="K100" s="12">
        <f t="shared" si="81"/>
        <v>980447866.08537829</v>
      </c>
      <c r="L100" s="18"/>
    </row>
    <row r="101" spans="3:12" ht="15" customHeight="1" x14ac:dyDescent="0.25">
      <c r="D101" s="250"/>
      <c r="E101" s="250"/>
      <c r="F101" s="250"/>
      <c r="G101" s="251"/>
      <c r="H101" s="251"/>
      <c r="I101" s="251"/>
      <c r="J101" s="251"/>
      <c r="K101" s="251"/>
    </row>
    <row r="102" spans="3:12" ht="15" customHeight="1" x14ac:dyDescent="0.25">
      <c r="C102" s="13" t="s">
        <v>123</v>
      </c>
      <c r="E102" s="18"/>
      <c r="F102" s="18"/>
      <c r="G102" s="18"/>
      <c r="H102" s="18"/>
      <c r="I102" s="18"/>
      <c r="J102" s="18"/>
      <c r="K102" s="18"/>
    </row>
    <row r="103" spans="3:12" ht="15" customHeight="1" x14ac:dyDescent="0.25">
      <c r="C103" s="17" t="s">
        <v>330</v>
      </c>
      <c r="D103" s="10">
        <v>48662296</v>
      </c>
      <c r="E103" s="10">
        <v>22377172</v>
      </c>
      <c r="F103" s="10">
        <v>6441727</v>
      </c>
      <c r="G103" s="19">
        <f>G230</f>
        <v>0</v>
      </c>
      <c r="H103" s="19">
        <f t="shared" ref="H103:K103" si="82">H230</f>
        <v>0</v>
      </c>
      <c r="I103" s="19">
        <f t="shared" si="82"/>
        <v>0</v>
      </c>
      <c r="J103" s="19">
        <f t="shared" si="82"/>
        <v>0</v>
      </c>
      <c r="K103" s="19">
        <f t="shared" si="82"/>
        <v>0</v>
      </c>
    </row>
    <row r="104" spans="3:12" ht="15" customHeight="1" x14ac:dyDescent="0.25">
      <c r="C104" s="17" t="s">
        <v>331</v>
      </c>
      <c r="D104" s="10">
        <v>148674513</v>
      </c>
      <c r="E104" s="10">
        <v>140921789</v>
      </c>
      <c r="F104" s="10">
        <v>151279852</v>
      </c>
      <c r="G104" s="19">
        <f>G273*(1-G274)</f>
        <v>161424782.974289</v>
      </c>
      <c r="H104" s="19">
        <f t="shared" ref="H104:K104" si="83">H273*(1-H274)</f>
        <v>173399341.79094613</v>
      </c>
      <c r="I104" s="19">
        <f t="shared" si="83"/>
        <v>187173020.92220908</v>
      </c>
      <c r="J104" s="19">
        <f t="shared" si="83"/>
        <v>202601848.58109322</v>
      </c>
      <c r="K104" s="19">
        <f t="shared" si="83"/>
        <v>219575444.79964203</v>
      </c>
    </row>
    <row r="105" spans="3:12" ht="15" customHeight="1" x14ac:dyDescent="0.25">
      <c r="C105" s="17" t="s">
        <v>332</v>
      </c>
      <c r="D105" s="10">
        <v>15092078</v>
      </c>
      <c r="E105" s="10">
        <v>12222226</v>
      </c>
      <c r="F105" s="10">
        <v>10000008</v>
      </c>
      <c r="G105" s="19">
        <f>F105-G106</f>
        <v>7777788</v>
      </c>
      <c r="H105" s="19">
        <f t="shared" ref="H105:J105" si="84">G105-H106</f>
        <v>5555568</v>
      </c>
      <c r="I105" s="19">
        <f t="shared" si="84"/>
        <v>3333348</v>
      </c>
      <c r="J105" s="19">
        <f t="shared" si="84"/>
        <v>1111128</v>
      </c>
      <c r="K105" s="19">
        <v>0</v>
      </c>
    </row>
    <row r="106" spans="3:12" ht="15" customHeight="1" x14ac:dyDescent="0.25">
      <c r="C106" s="17" t="s">
        <v>392</v>
      </c>
      <c r="D106" s="10">
        <v>0</v>
      </c>
      <c r="E106" s="10">
        <v>0</v>
      </c>
      <c r="F106" s="10">
        <v>2222220</v>
      </c>
      <c r="G106" s="19">
        <f>F106</f>
        <v>2222220</v>
      </c>
      <c r="H106" s="19">
        <f t="shared" ref="H106:K106" si="85">G106</f>
        <v>2222220</v>
      </c>
      <c r="I106" s="19">
        <f t="shared" si="85"/>
        <v>2222220</v>
      </c>
      <c r="J106" s="19">
        <f t="shared" si="85"/>
        <v>2222220</v>
      </c>
      <c r="K106" s="19">
        <f t="shared" si="85"/>
        <v>2222220</v>
      </c>
    </row>
    <row r="107" spans="3:12" ht="15" customHeight="1" x14ac:dyDescent="0.25">
      <c r="C107" s="11" t="s">
        <v>124</v>
      </c>
      <c r="D107" s="12">
        <f t="shared" ref="D107:E107" si="86">SUM(D103:D106)</f>
        <v>212428887</v>
      </c>
      <c r="E107" s="12">
        <f t="shared" si="86"/>
        <v>175521187</v>
      </c>
      <c r="F107" s="12">
        <f>SUM(F103:F106)</f>
        <v>169943807</v>
      </c>
      <c r="G107" s="12">
        <f>SUM(G103:G106)</f>
        <v>171424790.974289</v>
      </c>
      <c r="H107" s="12">
        <f t="shared" ref="H107:K107" si="87">SUM(H103:H106)</f>
        <v>181177129.79094613</v>
      </c>
      <c r="I107" s="12">
        <f t="shared" si="87"/>
        <v>192728588.92220908</v>
      </c>
      <c r="J107" s="12">
        <f t="shared" si="87"/>
        <v>205935196.58109322</v>
      </c>
      <c r="K107" s="12">
        <f t="shared" si="87"/>
        <v>221797664.79964203</v>
      </c>
    </row>
    <row r="108" spans="3:12" ht="15" customHeight="1" x14ac:dyDescent="0.25">
      <c r="D108" s="1"/>
      <c r="E108" s="1"/>
      <c r="F108" s="1"/>
      <c r="G108" s="209"/>
      <c r="H108" s="209"/>
      <c r="I108" s="209"/>
      <c r="J108" s="209"/>
      <c r="K108" s="209"/>
    </row>
    <row r="109" spans="3:12" ht="15" customHeight="1" x14ac:dyDescent="0.25">
      <c r="C109" s="13" t="s">
        <v>125</v>
      </c>
      <c r="D109" s="25">
        <f>D100+D107</f>
        <v>616728798</v>
      </c>
      <c r="E109" s="25">
        <f>E100+E107</f>
        <v>597417667</v>
      </c>
      <c r="F109" s="25">
        <f>F100+F107</f>
        <v>787942459</v>
      </c>
      <c r="G109" s="25">
        <f>G100+G107</f>
        <v>786195615.60829139</v>
      </c>
      <c r="H109" s="25">
        <f t="shared" ref="H109:K109" si="88">H100+H107</f>
        <v>888765562.33147013</v>
      </c>
      <c r="I109" s="25">
        <f t="shared" si="88"/>
        <v>997882996.87798572</v>
      </c>
      <c r="J109" s="25">
        <f t="shared" si="88"/>
        <v>1101267176.2662632</v>
      </c>
      <c r="K109" s="25">
        <f t="shared" si="88"/>
        <v>1202245530.8850203</v>
      </c>
    </row>
    <row r="110" spans="3:12" ht="15" customHeight="1" x14ac:dyDescent="0.25">
      <c r="E110" s="18"/>
      <c r="F110" s="18"/>
      <c r="G110" s="18"/>
      <c r="H110" s="18"/>
      <c r="I110" s="18"/>
      <c r="J110" s="18"/>
      <c r="K110" s="18"/>
    </row>
    <row r="111" spans="3:12" ht="15" customHeight="1" x14ac:dyDescent="0.25">
      <c r="C111" s="13" t="s">
        <v>126</v>
      </c>
      <c r="E111" s="18"/>
      <c r="F111" s="18"/>
      <c r="G111" s="18"/>
      <c r="H111" s="18"/>
      <c r="I111" s="18"/>
      <c r="J111" s="18"/>
      <c r="K111" s="18"/>
    </row>
    <row r="112" spans="3:12" ht="15" customHeight="1" x14ac:dyDescent="0.25">
      <c r="C112" s="17" t="s">
        <v>326</v>
      </c>
      <c r="D112" s="10">
        <v>92833330</v>
      </c>
      <c r="E112" s="10">
        <v>92833330</v>
      </c>
      <c r="F112" s="10">
        <v>100000000</v>
      </c>
      <c r="G112" s="19">
        <f>F112</f>
        <v>100000000</v>
      </c>
      <c r="H112" s="19">
        <f t="shared" ref="H112:K112" si="89">G112</f>
        <v>100000000</v>
      </c>
      <c r="I112" s="19">
        <f t="shared" si="89"/>
        <v>100000000</v>
      </c>
      <c r="J112" s="19">
        <f t="shared" si="89"/>
        <v>100000000</v>
      </c>
      <c r="K112" s="19">
        <f t="shared" si="89"/>
        <v>100000000</v>
      </c>
    </row>
    <row r="113" spans="3:11" ht="15" customHeight="1" x14ac:dyDescent="0.25">
      <c r="C113" s="17" t="s">
        <v>327</v>
      </c>
      <c r="D113" s="10">
        <v>9405590</v>
      </c>
      <c r="E113" s="10">
        <v>9405590</v>
      </c>
      <c r="F113" s="10">
        <v>23897012</v>
      </c>
      <c r="G113" s="19">
        <f>F113</f>
        <v>23897012</v>
      </c>
      <c r="H113" s="19">
        <f t="shared" ref="H113:K113" si="90">G113</f>
        <v>23897012</v>
      </c>
      <c r="I113" s="19">
        <f t="shared" si="90"/>
        <v>23897012</v>
      </c>
      <c r="J113" s="19">
        <f t="shared" si="90"/>
        <v>23897012</v>
      </c>
      <c r="K113" s="19">
        <f t="shared" si="90"/>
        <v>23897012</v>
      </c>
    </row>
    <row r="114" spans="3:11" ht="15" customHeight="1" x14ac:dyDescent="0.25">
      <c r="C114" s="17" t="s">
        <v>328</v>
      </c>
      <c r="D114" s="10">
        <v>-83822569</v>
      </c>
      <c r="E114" s="10">
        <v>-53757977</v>
      </c>
      <c r="F114" s="10">
        <v>151119171</v>
      </c>
      <c r="G114" s="19">
        <f>G253</f>
        <v>303078648.68594241</v>
      </c>
      <c r="H114" s="19">
        <f t="shared" ref="H114:K114" si="91">H253</f>
        <v>463664114.48953038</v>
      </c>
      <c r="I114" s="19">
        <f t="shared" si="91"/>
        <v>637737493.03175485</v>
      </c>
      <c r="J114" s="19">
        <f t="shared" si="91"/>
        <v>823685600.51448762</v>
      </c>
      <c r="K114" s="19">
        <f t="shared" si="91"/>
        <v>1028277261.393527</v>
      </c>
    </row>
    <row r="115" spans="3:11" ht="15" customHeight="1" x14ac:dyDescent="0.25">
      <c r="C115" s="17" t="s">
        <v>308</v>
      </c>
      <c r="D115" s="10">
        <v>31750161</v>
      </c>
      <c r="E115" s="10">
        <v>135031718</v>
      </c>
      <c r="F115" s="10">
        <v>0</v>
      </c>
      <c r="G115" s="19">
        <f>F115</f>
        <v>0</v>
      </c>
      <c r="H115" s="19">
        <f t="shared" ref="H115:K115" si="92">G115</f>
        <v>0</v>
      </c>
      <c r="I115" s="19">
        <f t="shared" si="92"/>
        <v>0</v>
      </c>
      <c r="J115" s="19">
        <f t="shared" si="92"/>
        <v>0</v>
      </c>
      <c r="K115" s="19">
        <f t="shared" si="92"/>
        <v>0</v>
      </c>
    </row>
    <row r="116" spans="3:11" s="13" customFormat="1" ht="15" customHeight="1" x14ac:dyDescent="0.25">
      <c r="C116" s="247" t="s">
        <v>329</v>
      </c>
      <c r="D116" s="156">
        <f>SUM(D112:D115)</f>
        <v>50166512</v>
      </c>
      <c r="E116" s="156">
        <f>SUM(E112:E115)</f>
        <v>183512661</v>
      </c>
      <c r="F116" s="156">
        <f>SUM(F112:F115)</f>
        <v>275016183</v>
      </c>
      <c r="G116" s="156">
        <f>SUM(G112:G115)</f>
        <v>426975660.68594241</v>
      </c>
      <c r="H116" s="156">
        <f t="shared" ref="H116:K116" si="93">SUM(H112:H115)</f>
        <v>587561126.48953032</v>
      </c>
      <c r="I116" s="156">
        <f t="shared" si="93"/>
        <v>761634505.03175485</v>
      </c>
      <c r="J116" s="156">
        <f t="shared" si="93"/>
        <v>947582612.51448762</v>
      </c>
      <c r="K116" s="156">
        <f t="shared" si="93"/>
        <v>1152174273.393527</v>
      </c>
    </row>
    <row r="117" spans="3:11" ht="15" customHeight="1" x14ac:dyDescent="0.25">
      <c r="C117" s="17" t="s">
        <v>299</v>
      </c>
      <c r="D117" s="10">
        <v>-436852</v>
      </c>
      <c r="E117" s="10">
        <v>-426786</v>
      </c>
      <c r="F117" s="10">
        <v>-417023</v>
      </c>
      <c r="G117" s="19">
        <f>G259</f>
        <v>-403652.61710440397</v>
      </c>
      <c r="H117" s="19">
        <f t="shared" ref="H117:K117" si="94">H259</f>
        <v>-387538.69300659071</v>
      </c>
      <c r="I117" s="19">
        <f t="shared" si="94"/>
        <v>-369017.97894892847</v>
      </c>
      <c r="J117" s="19">
        <f t="shared" si="94"/>
        <v>-348383.93378572853</v>
      </c>
      <c r="K117" s="19">
        <f t="shared" si="94"/>
        <v>-325514.41213843843</v>
      </c>
    </row>
    <row r="118" spans="3:11" ht="15" customHeight="1" x14ac:dyDescent="0.25">
      <c r="C118" s="26" t="s">
        <v>127</v>
      </c>
      <c r="D118" s="12">
        <f>SUM(D116:D117)</f>
        <v>49729660</v>
      </c>
      <c r="E118" s="12">
        <f t="shared" ref="E118:G118" si="95">SUM(E116:E117)</f>
        <v>183085875</v>
      </c>
      <c r="F118" s="12">
        <f t="shared" si="95"/>
        <v>274599160</v>
      </c>
      <c r="G118" s="12">
        <f t="shared" si="95"/>
        <v>426572008.068838</v>
      </c>
      <c r="H118" s="12">
        <f t="shared" ref="H118:K118" si="96">SUM(H116:H117)</f>
        <v>587173587.79652369</v>
      </c>
      <c r="I118" s="12">
        <f t="shared" si="96"/>
        <v>761265487.0528059</v>
      </c>
      <c r="J118" s="12">
        <f t="shared" si="96"/>
        <v>947234228.58070195</v>
      </c>
      <c r="K118" s="12">
        <f t="shared" si="96"/>
        <v>1151848758.9813886</v>
      </c>
    </row>
    <row r="119" spans="3:11" ht="15" customHeight="1" x14ac:dyDescent="0.25">
      <c r="E119" s="19"/>
      <c r="F119" s="19"/>
      <c r="G119" s="19"/>
      <c r="H119" s="19"/>
      <c r="I119" s="19"/>
      <c r="J119" s="19"/>
      <c r="K119" s="19"/>
    </row>
    <row r="120" spans="3:11" ht="15" customHeight="1" x14ac:dyDescent="0.25">
      <c r="C120" s="13" t="s">
        <v>128</v>
      </c>
      <c r="D120" s="14">
        <f t="shared" ref="D120:K120" si="97">D109+D118</f>
        <v>666458458</v>
      </c>
      <c r="E120" s="14">
        <f t="shared" si="97"/>
        <v>780503542</v>
      </c>
      <c r="F120" s="14">
        <f t="shared" si="97"/>
        <v>1062541619</v>
      </c>
      <c r="G120" s="14">
        <f t="shared" si="97"/>
        <v>1212767623.6771293</v>
      </c>
      <c r="H120" s="14">
        <f t="shared" si="97"/>
        <v>1475939150.1279938</v>
      </c>
      <c r="I120" s="14">
        <f t="shared" si="97"/>
        <v>1759148483.9307916</v>
      </c>
      <c r="J120" s="14">
        <f t="shared" si="97"/>
        <v>2048501404.8469653</v>
      </c>
      <c r="K120" s="14">
        <f t="shared" si="97"/>
        <v>2354094289.8664088</v>
      </c>
    </row>
    <row r="121" spans="3:11" ht="15" customHeight="1" x14ac:dyDescent="0.25">
      <c r="E121" s="18"/>
      <c r="F121" s="18"/>
      <c r="G121" s="18"/>
      <c r="H121" s="18"/>
      <c r="I121" s="18"/>
      <c r="J121" s="18"/>
      <c r="K121" s="18"/>
    </row>
    <row r="122" spans="3:11" ht="15" customHeight="1" x14ac:dyDescent="0.25">
      <c r="C122" s="6" t="s">
        <v>129</v>
      </c>
      <c r="D122" s="254">
        <f t="shared" ref="D122:K122" si="98">D86-D120</f>
        <v>0</v>
      </c>
      <c r="E122" s="254">
        <f t="shared" si="98"/>
        <v>0</v>
      </c>
      <c r="F122" s="254">
        <f t="shared" si="98"/>
        <v>0</v>
      </c>
      <c r="G122" s="254">
        <f>G86-G120</f>
        <v>0</v>
      </c>
      <c r="H122" s="254">
        <f t="shared" si="98"/>
        <v>0</v>
      </c>
      <c r="I122" s="254">
        <f t="shared" si="98"/>
        <v>0</v>
      </c>
      <c r="J122" s="254">
        <f t="shared" si="98"/>
        <v>0</v>
      </c>
      <c r="K122" s="254">
        <f t="shared" si="98"/>
        <v>0</v>
      </c>
    </row>
    <row r="123" spans="3:11" ht="15" customHeight="1" x14ac:dyDescent="0.25"/>
    <row r="124" spans="3:11" x14ac:dyDescent="0.25">
      <c r="C124" s="38" t="s">
        <v>130</v>
      </c>
      <c r="D124" s="239"/>
      <c r="E124" s="45"/>
      <c r="F124" s="45"/>
      <c r="G124" s="45"/>
      <c r="H124" s="45"/>
      <c r="I124" s="45"/>
      <c r="J124" s="45"/>
      <c r="K124" s="45"/>
    </row>
    <row r="125" spans="3:11" x14ac:dyDescent="0.25">
      <c r="C125" t="s">
        <v>107</v>
      </c>
      <c r="D125" s="40"/>
      <c r="E125" s="40"/>
      <c r="F125" s="41"/>
      <c r="G125" s="41">
        <f>G$13</f>
        <v>2026</v>
      </c>
      <c r="H125" s="41">
        <f>H$13</f>
        <v>2027</v>
      </c>
      <c r="I125" s="41">
        <f>I$13</f>
        <v>2028</v>
      </c>
      <c r="J125" s="41">
        <f>J$13</f>
        <v>2029</v>
      </c>
      <c r="K125" s="41">
        <f>K$13</f>
        <v>2030</v>
      </c>
    </row>
    <row r="126" spans="3:11" x14ac:dyDescent="0.25">
      <c r="C126" s="42" t="s">
        <v>108</v>
      </c>
      <c r="D126" s="241"/>
      <c r="E126" s="43"/>
      <c r="F126" s="224"/>
      <c r="G126" s="224">
        <f>G$14</f>
        <v>46387</v>
      </c>
      <c r="H126" s="224">
        <f>H$14</f>
        <v>46752</v>
      </c>
      <c r="I126" s="224">
        <f>I$14</f>
        <v>47118</v>
      </c>
      <c r="J126" s="224">
        <f>J$14</f>
        <v>47483</v>
      </c>
      <c r="K126" s="224">
        <f>K$14</f>
        <v>47848</v>
      </c>
    </row>
    <row r="127" spans="3:11" ht="15" customHeight="1" x14ac:dyDescent="0.25"/>
    <row r="128" spans="3:11" s="13" customFormat="1" ht="15" customHeight="1" x14ac:dyDescent="0.25">
      <c r="C128" s="17" t="s">
        <v>131</v>
      </c>
      <c r="D128" s="197"/>
      <c r="E128" s="197"/>
      <c r="F128" s="199"/>
      <c r="G128" s="296">
        <f>G31</f>
        <v>289254712.91883802</v>
      </c>
      <c r="H128" s="296">
        <f t="shared" ref="H128:K128" si="99">H31</f>
        <v>348608452.37604833</v>
      </c>
      <c r="I128" s="296">
        <f t="shared" si="99"/>
        <v>400676919.25005001</v>
      </c>
      <c r="J128" s="296">
        <f t="shared" si="99"/>
        <v>446396700.57629108</v>
      </c>
      <c r="K128" s="296">
        <f t="shared" si="99"/>
        <v>494758973.6459198</v>
      </c>
    </row>
    <row r="129" spans="3:11" ht="15" customHeight="1" x14ac:dyDescent="0.25">
      <c r="C129" s="17" t="s">
        <v>354</v>
      </c>
      <c r="D129" s="199"/>
      <c r="E129" s="198"/>
      <c r="F129" s="198"/>
      <c r="G129" s="297">
        <f>-G24</f>
        <v>86759301.032923192</v>
      </c>
      <c r="H129" s="297">
        <f t="shared" ref="H129:K129" si="100">-H24</f>
        <v>92694527.222767293</v>
      </c>
      <c r="I129" s="297">
        <f t="shared" si="100"/>
        <v>109883130.65339704</v>
      </c>
      <c r="J129" s="297">
        <f t="shared" si="100"/>
        <v>126905436.19804949</v>
      </c>
      <c r="K129" s="297">
        <f t="shared" si="100"/>
        <v>143591405.04245025</v>
      </c>
    </row>
    <row r="130" spans="3:11" ht="15" customHeight="1" x14ac:dyDescent="0.25">
      <c r="C130" s="17" t="s">
        <v>356</v>
      </c>
      <c r="D130" s="199"/>
      <c r="E130" s="198"/>
      <c r="F130" s="198"/>
      <c r="G130" s="297">
        <f>G270</f>
        <v>32990628.590431124</v>
      </c>
      <c r="H130" s="297">
        <f t="shared" ref="H130:K130" si="101">H270</f>
        <v>38940454.445260055</v>
      </c>
      <c r="I130" s="297">
        <f t="shared" si="101"/>
        <v>44791071.885544702</v>
      </c>
      <c r="J130" s="297">
        <f t="shared" si="101"/>
        <v>50173502.823235251</v>
      </c>
      <c r="K130" s="297">
        <f t="shared" si="101"/>
        <v>55196985.57922782</v>
      </c>
    </row>
    <row r="131" spans="3:11" ht="15" customHeight="1" x14ac:dyDescent="0.25">
      <c r="C131" s="17" t="s">
        <v>398</v>
      </c>
      <c r="D131" s="199"/>
      <c r="E131" s="198"/>
      <c r="F131" s="198"/>
      <c r="G131" s="297">
        <f>G92-F92</f>
        <v>-48217514.320406921</v>
      </c>
      <c r="H131" s="297">
        <f t="shared" ref="H131:K131" si="102">H92-G92</f>
        <v>4307932.7025394626</v>
      </c>
      <c r="I131" s="297">
        <f t="shared" si="102"/>
        <v>3779162.9182743169</v>
      </c>
      <c r="J131" s="297">
        <f t="shared" si="102"/>
        <v>3318371.225291688</v>
      </c>
      <c r="K131" s="297">
        <f t="shared" si="102"/>
        <v>3510164.9808601476</v>
      </c>
    </row>
    <row r="132" spans="3:11" ht="15" customHeight="1" x14ac:dyDescent="0.25">
      <c r="C132" s="17" t="s">
        <v>402</v>
      </c>
      <c r="D132" s="199"/>
      <c r="E132" s="198"/>
      <c r="F132" s="198"/>
      <c r="G132" s="297">
        <f>G271</f>
        <v>-2930242.9508524332</v>
      </c>
      <c r="H132" s="297">
        <f t="shared" ref="H132:K132" si="103">H271</f>
        <v>-3458709.246125415</v>
      </c>
      <c r="I132" s="297">
        <f t="shared" si="103"/>
        <v>-3978363.8039503871</v>
      </c>
      <c r="J132" s="297">
        <f t="shared" si="103"/>
        <v>-4456433.819208975</v>
      </c>
      <c r="K132" s="297">
        <f t="shared" si="103"/>
        <v>-4902621.8902888177</v>
      </c>
    </row>
    <row r="133" spans="3:11" ht="15" customHeight="1" x14ac:dyDescent="0.25">
      <c r="C133" s="17" t="s">
        <v>404</v>
      </c>
      <c r="D133" s="199"/>
      <c r="E133" s="198"/>
      <c r="F133" s="198"/>
      <c r="G133" s="297">
        <f>-G287</f>
        <v>7036180.20336344</v>
      </c>
      <c r="H133" s="297">
        <f t="shared" ref="H133:K133" si="104">-H287</f>
        <v>8305148.0491397986</v>
      </c>
      <c r="I133" s="297">
        <f t="shared" si="104"/>
        <v>9552956.9078871533</v>
      </c>
      <c r="J133" s="297">
        <f t="shared" si="104"/>
        <v>10700911.815928336</v>
      </c>
      <c r="K133" s="297">
        <f t="shared" si="104"/>
        <v>11772310.920154698</v>
      </c>
    </row>
    <row r="134" spans="3:11" s="13" customFormat="1" ht="15" customHeight="1" x14ac:dyDescent="0.25">
      <c r="C134" s="13" t="s">
        <v>132</v>
      </c>
      <c r="D134" s="197"/>
      <c r="E134" s="197"/>
      <c r="F134" s="197"/>
      <c r="G134" s="298">
        <f>SUM(G128:G133)</f>
        <v>364893065.47429639</v>
      </c>
      <c r="H134" s="298">
        <f t="shared" ref="H134:K134" si="105">SUM(H128:H133)</f>
        <v>489397805.54962951</v>
      </c>
      <c r="I134" s="298">
        <f t="shared" si="105"/>
        <v>564704877.81120265</v>
      </c>
      <c r="J134" s="298">
        <f t="shared" si="105"/>
        <v>633038488.81958699</v>
      </c>
      <c r="K134" s="298">
        <f t="shared" si="105"/>
        <v>703927218.27832377</v>
      </c>
    </row>
    <row r="135" spans="3:11" s="13" customFormat="1" ht="15" customHeight="1" x14ac:dyDescent="0.25">
      <c r="D135" s="197"/>
      <c r="E135" s="201"/>
      <c r="F135" s="201"/>
      <c r="G135" s="299"/>
      <c r="H135" s="299"/>
      <c r="I135" s="299"/>
      <c r="J135" s="299"/>
      <c r="K135" s="299"/>
    </row>
    <row r="136" spans="3:11" ht="15" customHeight="1" x14ac:dyDescent="0.25">
      <c r="C136" s="195" t="s">
        <v>133</v>
      </c>
      <c r="D136" s="198"/>
      <c r="E136" s="198"/>
      <c r="F136" s="198"/>
      <c r="G136" s="297"/>
      <c r="H136" s="297"/>
      <c r="I136" s="297"/>
      <c r="J136" s="297"/>
      <c r="K136" s="297"/>
    </row>
    <row r="137" spans="3:11" ht="15" customHeight="1" x14ac:dyDescent="0.25">
      <c r="C137" s="17" t="s">
        <v>134</v>
      </c>
      <c r="D137" s="198"/>
      <c r="E137" s="198"/>
      <c r="F137" s="198"/>
      <c r="G137" s="297">
        <f>G212</f>
        <v>37161989.698711634</v>
      </c>
      <c r="H137" s="297">
        <f t="shared" ref="H137:K137" si="106">H212</f>
        <v>10444965.134340644</v>
      </c>
      <c r="I137" s="297">
        <f t="shared" si="106"/>
        <v>10270803.998161077</v>
      </c>
      <c r="J137" s="297">
        <f t="shared" si="106"/>
        <v>9448898.9852613211</v>
      </c>
      <c r="K137" s="297">
        <f t="shared" si="106"/>
        <v>8818762.6864271164</v>
      </c>
    </row>
    <row r="138" spans="3:11" s="13" customFormat="1" ht="15" customHeight="1" x14ac:dyDescent="0.25">
      <c r="C138" s="13" t="s">
        <v>135</v>
      </c>
      <c r="D138" s="197"/>
      <c r="E138" s="197"/>
      <c r="F138" s="197"/>
      <c r="G138" s="298">
        <f>G134+G137</f>
        <v>402055055.17300802</v>
      </c>
      <c r="H138" s="298">
        <f t="shared" ref="H138:K138" si="107">H134+H137</f>
        <v>499842770.68397015</v>
      </c>
      <c r="I138" s="298">
        <f t="shared" si="107"/>
        <v>574975681.80936372</v>
      </c>
      <c r="J138" s="298">
        <f t="shared" si="107"/>
        <v>642487387.80484831</v>
      </c>
      <c r="K138" s="298">
        <f t="shared" si="107"/>
        <v>712745980.96475089</v>
      </c>
    </row>
    <row r="139" spans="3:11" ht="15" customHeight="1" x14ac:dyDescent="0.25">
      <c r="D139" s="199"/>
      <c r="E139" s="200"/>
      <c r="F139" s="200"/>
      <c r="G139" s="296"/>
      <c r="H139" s="296"/>
      <c r="I139" s="296"/>
      <c r="J139" s="296"/>
      <c r="K139" s="296"/>
    </row>
    <row r="140" spans="3:11" x14ac:dyDescent="0.25">
      <c r="C140" s="220" t="s">
        <v>136</v>
      </c>
      <c r="D140" s="242"/>
      <c r="E140" s="221"/>
      <c r="F140" s="221"/>
      <c r="G140" s="301"/>
      <c r="H140" s="301"/>
      <c r="I140" s="301"/>
      <c r="J140" s="301"/>
      <c r="K140" s="301"/>
    </row>
    <row r="141" spans="3:11" ht="15" customHeight="1" x14ac:dyDescent="0.25">
      <c r="C141" s="17" t="s">
        <v>137</v>
      </c>
      <c r="D141" s="199"/>
      <c r="E141" s="198"/>
      <c r="F141" s="198"/>
      <c r="G141" s="297">
        <f>-G163</f>
        <v>-35122413.291259997</v>
      </c>
      <c r="H141" s="297">
        <f t="shared" ref="H141:K141" si="108">-H163</f>
        <v>-82913408.63827011</v>
      </c>
      <c r="I141" s="297">
        <f t="shared" si="108"/>
        <v>-95370752.588747755</v>
      </c>
      <c r="J141" s="297">
        <f t="shared" si="108"/>
        <v>-106831217.08926737</v>
      </c>
      <c r="K141" s="297">
        <f t="shared" si="108"/>
        <v>-117527396.28050981</v>
      </c>
    </row>
    <row r="142" spans="3:11" ht="15" customHeight="1" x14ac:dyDescent="0.25">
      <c r="C142" s="17" t="s">
        <v>233</v>
      </c>
      <c r="D142" s="199"/>
      <c r="E142" s="198"/>
      <c r="F142" s="198"/>
      <c r="G142" s="297">
        <f>-G300</f>
        <v>-2000000</v>
      </c>
      <c r="H142" s="297">
        <f t="shared" ref="H142:K142" si="109">-H300</f>
        <v>-2000000</v>
      </c>
      <c r="I142" s="297">
        <f t="shared" si="109"/>
        <v>-2000000</v>
      </c>
      <c r="J142" s="297">
        <f t="shared" si="109"/>
        <v>-2000000</v>
      </c>
      <c r="K142" s="297">
        <f t="shared" si="109"/>
        <v>-2000000</v>
      </c>
    </row>
    <row r="143" spans="3:11" ht="15" customHeight="1" x14ac:dyDescent="0.25">
      <c r="C143" s="13" t="s">
        <v>138</v>
      </c>
      <c r="D143" s="199"/>
      <c r="E143" s="201"/>
      <c r="F143" s="201"/>
      <c r="G143" s="300">
        <f>SUM(G141:G142)</f>
        <v>-37122413.291259997</v>
      </c>
      <c r="H143" s="300">
        <f>SUM(H141:H142)</f>
        <v>-84913408.63827011</v>
      </c>
      <c r="I143" s="300">
        <f>SUM(I141:I142)</f>
        <v>-97370752.588747755</v>
      </c>
      <c r="J143" s="300">
        <f>SUM(J141:J142)</f>
        <v>-108831217.08926737</v>
      </c>
      <c r="K143" s="300">
        <f>SUM(K141:K142)</f>
        <v>-119527396.28050981</v>
      </c>
    </row>
    <row r="144" spans="3:11" ht="15" customHeight="1" x14ac:dyDescent="0.25">
      <c r="D144" s="199"/>
      <c r="E144" s="203"/>
      <c r="F144" s="203"/>
      <c r="G144" s="296"/>
      <c r="H144" s="296"/>
      <c r="I144" s="296"/>
      <c r="J144" s="296"/>
      <c r="K144" s="296"/>
    </row>
    <row r="145" spans="3:11" s="35" customFormat="1" ht="15" customHeight="1" x14ac:dyDescent="0.25">
      <c r="C145" s="44" t="s">
        <v>139</v>
      </c>
      <c r="D145" s="243"/>
      <c r="E145" s="204"/>
      <c r="F145" s="204"/>
      <c r="G145" s="302"/>
      <c r="H145" s="302"/>
      <c r="I145" s="302"/>
      <c r="J145" s="302"/>
      <c r="K145" s="302"/>
    </row>
    <row r="146" spans="3:11" ht="15" customHeight="1" x14ac:dyDescent="0.25">
      <c r="C146" s="17" t="s">
        <v>140</v>
      </c>
      <c r="D146" s="199"/>
      <c r="E146" s="198"/>
      <c r="F146" s="198"/>
      <c r="G146" s="297">
        <f>-G252-F99</f>
        <v>-217281864.84999999</v>
      </c>
      <c r="H146" s="297">
        <f>-H252-G99</f>
        <v>-188006872.64836258</v>
      </c>
      <c r="I146" s="297">
        <f>-I252-H99</f>
        <v>-226585019.99376783</v>
      </c>
      <c r="J146" s="297">
        <f>-J252-I99</f>
        <v>-260427959.04839501</v>
      </c>
      <c r="K146" s="297">
        <f>-K252-J99</f>
        <v>-290144443.24523312</v>
      </c>
    </row>
    <row r="147" spans="3:11" ht="15" customHeight="1" x14ac:dyDescent="0.25">
      <c r="C147" s="17" t="s">
        <v>232</v>
      </c>
      <c r="D147" s="199"/>
      <c r="E147" s="198"/>
      <c r="F147" s="198"/>
      <c r="G147" s="297">
        <f>G272</f>
        <v>-71157384.405181095</v>
      </c>
      <c r="H147" s="297">
        <f t="shared" ref="H147:K147" si="110">H272</f>
        <v>-83990545.323453099</v>
      </c>
      <c r="I147" s="297">
        <f t="shared" si="110"/>
        <v>-96609723.920333251</v>
      </c>
      <c r="J147" s="297">
        <f t="shared" si="110"/>
        <v>-108219072.50299938</v>
      </c>
      <c r="K147" s="297">
        <f t="shared" si="110"/>
        <v>-119054206.86672114</v>
      </c>
    </row>
    <row r="148" spans="3:11" ht="15" customHeight="1" x14ac:dyDescent="0.25">
      <c r="C148" s="17" t="s">
        <v>355</v>
      </c>
      <c r="D148" s="199"/>
      <c r="E148" s="198"/>
      <c r="F148" s="198"/>
      <c r="G148" s="297">
        <f>G105-F105</f>
        <v>-2222220</v>
      </c>
      <c r="H148" s="297">
        <f>H105-G105</f>
        <v>-2222220</v>
      </c>
      <c r="I148" s="297">
        <f>I105-H105</f>
        <v>-2222220</v>
      </c>
      <c r="J148" s="297">
        <f>J105-I105</f>
        <v>-2222220</v>
      </c>
      <c r="K148" s="297">
        <f>K105-J105</f>
        <v>-1111128</v>
      </c>
    </row>
    <row r="149" spans="3:11" ht="15" customHeight="1" x14ac:dyDescent="0.25">
      <c r="C149" s="17" t="s">
        <v>395</v>
      </c>
      <c r="D149" s="199"/>
      <c r="E149" s="198"/>
      <c r="F149" s="198"/>
      <c r="G149" s="183">
        <f>-G231</f>
        <v>-15935445</v>
      </c>
      <c r="H149" s="183">
        <f t="shared" ref="H149:K149" si="111">-H231</f>
        <v>-6441727</v>
      </c>
      <c r="I149" s="183">
        <f t="shared" si="111"/>
        <v>0</v>
      </c>
      <c r="J149" s="183">
        <f t="shared" si="111"/>
        <v>0</v>
      </c>
      <c r="K149" s="183">
        <f t="shared" si="111"/>
        <v>0</v>
      </c>
    </row>
    <row r="150" spans="3:11" ht="15" customHeight="1" x14ac:dyDescent="0.25">
      <c r="C150" s="13" t="s">
        <v>141</v>
      </c>
      <c r="D150" s="197"/>
      <c r="E150" s="201"/>
      <c r="F150" s="201"/>
      <c r="G150" s="300">
        <f>SUM(G146:G149)</f>
        <v>-306596914.25518107</v>
      </c>
      <c r="H150" s="300">
        <f t="shared" ref="H150:K150" si="112">SUM(H146:H149)</f>
        <v>-280661364.97181571</v>
      </c>
      <c r="I150" s="300">
        <f t="shared" si="112"/>
        <v>-325416963.91410106</v>
      </c>
      <c r="J150" s="300">
        <f t="shared" si="112"/>
        <v>-370869251.5513944</v>
      </c>
      <c r="K150" s="300">
        <f t="shared" si="112"/>
        <v>-410309778.11195427</v>
      </c>
    </row>
    <row r="151" spans="3:11" ht="15" customHeight="1" x14ac:dyDescent="0.25">
      <c r="C151" s="13"/>
      <c r="D151" s="197"/>
      <c r="E151" s="201"/>
      <c r="F151" s="201"/>
      <c r="G151" s="300"/>
      <c r="H151" s="300"/>
      <c r="I151" s="300"/>
      <c r="J151" s="300"/>
      <c r="K151" s="300"/>
    </row>
    <row r="152" spans="3:11" ht="15" customHeight="1" x14ac:dyDescent="0.25">
      <c r="C152" s="13" t="s">
        <v>142</v>
      </c>
      <c r="D152" s="197"/>
      <c r="E152" s="201"/>
      <c r="F152" s="201"/>
      <c r="G152" s="300">
        <f>G138+G143+G150</f>
        <v>58335727.626566947</v>
      </c>
      <c r="H152" s="300">
        <f>H138+H143+H150</f>
        <v>134267997.07388437</v>
      </c>
      <c r="I152" s="300">
        <f>I138+I143+I150</f>
        <v>152187965.30651492</v>
      </c>
      <c r="J152" s="300">
        <f>J138+J143+J150</f>
        <v>162786919.16418654</v>
      </c>
      <c r="K152" s="300">
        <f>K138+K143+K150</f>
        <v>182908806.57228678</v>
      </c>
    </row>
    <row r="153" spans="3:11" ht="15" customHeight="1" x14ac:dyDescent="0.25">
      <c r="C153" s="6" t="s">
        <v>143</v>
      </c>
      <c r="D153" s="197"/>
      <c r="E153" s="201"/>
      <c r="F153" s="201"/>
      <c r="G153" s="300">
        <f>F74</f>
        <v>104342521</v>
      </c>
      <c r="H153" s="300">
        <f>G74</f>
        <v>162678248.62656695</v>
      </c>
      <c r="I153" s="300">
        <f>H74</f>
        <v>296946245.70045131</v>
      </c>
      <c r="J153" s="300">
        <f>I74</f>
        <v>449134211.00696623</v>
      </c>
      <c r="K153" s="300">
        <f>J74</f>
        <v>611921130.17115283</v>
      </c>
    </row>
    <row r="154" spans="3:11" ht="15" customHeight="1" x14ac:dyDescent="0.25">
      <c r="C154" s="13" t="s">
        <v>144</v>
      </c>
      <c r="D154" s="199"/>
      <c r="E154" s="201"/>
      <c r="F154" s="201"/>
      <c r="G154" s="300">
        <f>SUM(G152:G153)</f>
        <v>162678248.62656695</v>
      </c>
      <c r="H154" s="300">
        <f t="shared" ref="H154:K154" si="113">SUM(H152:H153)</f>
        <v>296946245.70045131</v>
      </c>
      <c r="I154" s="300">
        <f t="shared" si="113"/>
        <v>449134211.00696623</v>
      </c>
      <c r="J154" s="300">
        <f t="shared" si="113"/>
        <v>611921130.17115283</v>
      </c>
      <c r="K154" s="300">
        <f t="shared" si="113"/>
        <v>794829936.74343967</v>
      </c>
    </row>
    <row r="155" spans="3:11" ht="15" customHeight="1" x14ac:dyDescent="0.25">
      <c r="C155" s="13"/>
      <c r="D155" s="199"/>
      <c r="E155" s="202"/>
      <c r="F155" s="201"/>
      <c r="G155" s="299"/>
      <c r="H155" s="299"/>
      <c r="I155" s="299"/>
      <c r="J155" s="299"/>
      <c r="K155" s="299"/>
    </row>
    <row r="156" spans="3:11" ht="15" customHeight="1" x14ac:dyDescent="0.25">
      <c r="C156" s="13" t="s">
        <v>145</v>
      </c>
      <c r="D156" s="228"/>
      <c r="E156" s="228"/>
      <c r="F156" s="198"/>
      <c r="G156" s="183">
        <f>G154-G74</f>
        <v>0</v>
      </c>
      <c r="H156" s="183">
        <f>H154-H74</f>
        <v>0</v>
      </c>
      <c r="I156" s="183">
        <f>I154-I74</f>
        <v>0</v>
      </c>
      <c r="J156" s="183">
        <f>J154-J74</f>
        <v>0</v>
      </c>
      <c r="K156" s="183">
        <f>K154-K74</f>
        <v>0</v>
      </c>
    </row>
    <row r="157" spans="3:11" ht="15" customHeight="1" x14ac:dyDescent="0.25"/>
    <row r="158" spans="3:11" x14ac:dyDescent="0.25">
      <c r="C158" s="38" t="s">
        <v>146</v>
      </c>
      <c r="D158" s="237"/>
      <c r="E158" s="39"/>
      <c r="F158" s="39"/>
      <c r="G158" s="39"/>
      <c r="H158" s="39"/>
      <c r="I158" s="39"/>
      <c r="J158" s="39"/>
      <c r="K158" s="39"/>
    </row>
    <row r="159" spans="3:11" x14ac:dyDescent="0.25">
      <c r="C159" t="s">
        <v>107</v>
      </c>
      <c r="D159" s="40">
        <f t="shared" ref="D159:K159" si="114">D$13</f>
        <v>2023</v>
      </c>
      <c r="E159" s="40">
        <f t="shared" si="114"/>
        <v>2024</v>
      </c>
      <c r="F159" s="40">
        <f t="shared" si="114"/>
        <v>2025</v>
      </c>
      <c r="G159" s="41">
        <f t="shared" si="114"/>
        <v>2026</v>
      </c>
      <c r="H159" s="41">
        <f t="shared" si="114"/>
        <v>2027</v>
      </c>
      <c r="I159" s="41">
        <f t="shared" si="114"/>
        <v>2028</v>
      </c>
      <c r="J159" s="41">
        <f t="shared" si="114"/>
        <v>2029</v>
      </c>
      <c r="K159" s="41">
        <f t="shared" si="114"/>
        <v>2030</v>
      </c>
    </row>
    <row r="160" spans="3:11" x14ac:dyDescent="0.25">
      <c r="C160" s="42" t="s">
        <v>108</v>
      </c>
      <c r="D160" s="238">
        <f t="shared" ref="D160:K160" si="115">D$14</f>
        <v>45291</v>
      </c>
      <c r="E160" s="224">
        <f t="shared" si="115"/>
        <v>45657</v>
      </c>
      <c r="F160" s="224">
        <f t="shared" si="115"/>
        <v>46022</v>
      </c>
      <c r="G160" s="224">
        <f t="shared" si="115"/>
        <v>46387</v>
      </c>
      <c r="H160" s="224">
        <f t="shared" si="115"/>
        <v>46752</v>
      </c>
      <c r="I160" s="224">
        <f t="shared" si="115"/>
        <v>47118</v>
      </c>
      <c r="J160" s="224">
        <f t="shared" si="115"/>
        <v>47483</v>
      </c>
      <c r="K160" s="224">
        <f t="shared" si="115"/>
        <v>47848</v>
      </c>
    </row>
    <row r="161" spans="1:11" ht="15" customHeight="1" x14ac:dyDescent="0.25"/>
    <row r="162" spans="1:11" ht="15" customHeight="1" x14ac:dyDescent="0.25">
      <c r="C162" s="17" t="s">
        <v>147</v>
      </c>
      <c r="D162" s="287"/>
      <c r="E162" s="184">
        <f>D165</f>
        <v>174116983</v>
      </c>
      <c r="F162" s="184">
        <f t="shared" ref="F162:K162" si="116">E165</f>
        <v>190534890</v>
      </c>
      <c r="G162" s="184">
        <f t="shared" si="116"/>
        <v>163149183</v>
      </c>
      <c r="H162" s="184">
        <f t="shared" si="116"/>
        <v>162859826.25823522</v>
      </c>
      <c r="I162" s="184">
        <f t="shared" si="116"/>
        <v>210424270.16969454</v>
      </c>
      <c r="J162" s="184">
        <f t="shared" si="116"/>
        <v>260122125.55112803</v>
      </c>
      <c r="K162" s="184">
        <f t="shared" si="116"/>
        <v>310493452.85646588</v>
      </c>
    </row>
    <row r="163" spans="1:11" ht="15" customHeight="1" x14ac:dyDescent="0.25">
      <c r="C163" s="29" t="s">
        <v>148</v>
      </c>
      <c r="D163" s="196">
        <v>6087330</v>
      </c>
      <c r="E163" s="196">
        <v>29209511</v>
      </c>
      <c r="F163" s="196">
        <v>14241633</v>
      </c>
      <c r="G163" s="183">
        <f>G167*G16</f>
        <v>35122413.291259997</v>
      </c>
      <c r="H163" s="183">
        <f>H167*H16</f>
        <v>82913408.63827011</v>
      </c>
      <c r="I163" s="183">
        <f>I167*I16</f>
        <v>95370752.588747755</v>
      </c>
      <c r="J163" s="183">
        <f>J167*J16</f>
        <v>106831217.08926737</v>
      </c>
      <c r="K163" s="183">
        <f>K167*K16</f>
        <v>117527396.28050981</v>
      </c>
    </row>
    <row r="164" spans="1:11" ht="15" customHeight="1" x14ac:dyDescent="0.25">
      <c r="C164" s="29" t="s">
        <v>149</v>
      </c>
      <c r="D164" s="196">
        <v>45088086</v>
      </c>
      <c r="E164" s="196">
        <v>43207268</v>
      </c>
      <c r="F164" s="196">
        <v>41355878</v>
      </c>
      <c r="G164" s="183">
        <f>G168*G162</f>
        <v>35411770.033024788</v>
      </c>
      <c r="H164" s="183">
        <f t="shared" ref="H164:K164" si="117">H168*H162</f>
        <v>35348964.726810783</v>
      </c>
      <c r="I164" s="183">
        <f t="shared" si="117"/>
        <v>45672897.207314245</v>
      </c>
      <c r="J164" s="183">
        <f t="shared" si="117"/>
        <v>56459889.783929519</v>
      </c>
      <c r="K164" s="183">
        <f t="shared" si="117"/>
        <v>67393060.431770548</v>
      </c>
    </row>
    <row r="165" spans="1:11" ht="15" customHeight="1" x14ac:dyDescent="0.25">
      <c r="C165" s="16" t="s">
        <v>150</v>
      </c>
      <c r="D165" s="226">
        <f>D78</f>
        <v>174116983</v>
      </c>
      <c r="E165" s="226">
        <f>E78</f>
        <v>190534890</v>
      </c>
      <c r="F165" s="226">
        <f>F78</f>
        <v>163149183</v>
      </c>
      <c r="G165" s="226">
        <f>G162+G163-G164</f>
        <v>162859826.25823522</v>
      </c>
      <c r="H165" s="226">
        <f t="shared" ref="H165:K165" si="118">H162+H163-H164</f>
        <v>210424270.16969454</v>
      </c>
      <c r="I165" s="226">
        <f t="shared" si="118"/>
        <v>260122125.55112803</v>
      </c>
      <c r="J165" s="226">
        <f t="shared" si="118"/>
        <v>310493452.85646588</v>
      </c>
      <c r="K165" s="226">
        <f t="shared" si="118"/>
        <v>360627788.70520514</v>
      </c>
    </row>
    <row r="166" spans="1:11" ht="15" customHeight="1" x14ac:dyDescent="0.25">
      <c r="C166" s="13"/>
      <c r="D166" s="10"/>
      <c r="E166" s="156"/>
      <c r="F166" s="156"/>
      <c r="G166" s="157"/>
      <c r="H166" s="157"/>
      <c r="I166" s="157"/>
      <c r="J166" s="157"/>
      <c r="K166" s="157"/>
    </row>
    <row r="167" spans="1:11" ht="15" customHeight="1" x14ac:dyDescent="0.25">
      <c r="C167" s="6" t="s">
        <v>151</v>
      </c>
      <c r="D167" s="22">
        <f>D163/D16</f>
        <v>4.166541738221818E-3</v>
      </c>
      <c r="E167" s="22">
        <f>E163/E16</f>
        <v>1.3792385653865959E-2</v>
      </c>
      <c r="F167" s="22">
        <f>F163/F16</f>
        <v>4.9490394729682996E-3</v>
      </c>
      <c r="G167" s="209">
        <v>0.01</v>
      </c>
      <c r="H167" s="209">
        <v>0.02</v>
      </c>
      <c r="I167" s="209">
        <f t="shared" ref="I167:K167" si="119">H167</f>
        <v>0.02</v>
      </c>
      <c r="J167" s="209">
        <f t="shared" si="119"/>
        <v>0.02</v>
      </c>
      <c r="K167" s="209">
        <f t="shared" si="119"/>
        <v>0.02</v>
      </c>
    </row>
    <row r="168" spans="1:11" ht="15" customHeight="1" x14ac:dyDescent="0.25">
      <c r="C168" s="6" t="s">
        <v>152</v>
      </c>
      <c r="D168" s="22">
        <f>D164/212563390</f>
        <v>0.21211595279883333</v>
      </c>
      <c r="E168" s="22">
        <f>E164/E162</f>
        <v>0.24815079641025023</v>
      </c>
      <c r="F168" s="22">
        <f t="shared" ref="F168" si="120">F164/F162</f>
        <v>0.21705147020579801</v>
      </c>
      <c r="G168" s="209">
        <f>F168</f>
        <v>0.21705147020579801</v>
      </c>
      <c r="H168" s="209">
        <f>G168</f>
        <v>0.21705147020579801</v>
      </c>
      <c r="I168" s="209">
        <f t="shared" ref="I168:K168" si="121">H168</f>
        <v>0.21705147020579801</v>
      </c>
      <c r="J168" s="209">
        <f t="shared" si="121"/>
        <v>0.21705147020579801</v>
      </c>
      <c r="K168" s="209">
        <f t="shared" si="121"/>
        <v>0.21705147020579801</v>
      </c>
    </row>
    <row r="169" spans="1:11" ht="15" customHeight="1" x14ac:dyDescent="0.25">
      <c r="E169" s="1"/>
      <c r="F169" s="1"/>
      <c r="G169" s="1"/>
      <c r="H169" s="1"/>
      <c r="I169" s="1"/>
      <c r="J169" s="1"/>
      <c r="K169" s="1"/>
    </row>
    <row r="170" spans="1:11" s="35" customFormat="1" ht="15" customHeight="1" x14ac:dyDescent="0.25">
      <c r="C170" s="44" t="s">
        <v>153</v>
      </c>
      <c r="D170" s="46"/>
      <c r="E170" s="46"/>
      <c r="F170" s="46"/>
      <c r="G170" s="46"/>
      <c r="H170" s="46"/>
      <c r="I170" s="46"/>
      <c r="J170" s="46"/>
      <c r="K170" s="46"/>
    </row>
    <row r="171" spans="1:11" s="31" customFormat="1" ht="15" customHeight="1" x14ac:dyDescent="0.25">
      <c r="C171" s="32"/>
      <c r="D171" s="33"/>
      <c r="E171" s="34"/>
      <c r="F171" s="34"/>
      <c r="G171" s="34"/>
      <c r="H171" s="34"/>
      <c r="I171" s="34"/>
      <c r="J171" s="34"/>
      <c r="K171" s="34"/>
    </row>
    <row r="172" spans="1:11" s="31" customFormat="1" ht="15" customHeight="1" x14ac:dyDescent="0.25">
      <c r="C172" s="35" t="s">
        <v>154</v>
      </c>
      <c r="D172" s="10">
        <f>-D301+-D288</f>
        <v>37711352</v>
      </c>
      <c r="E172" s="10">
        <f t="shared" ref="E172:K172" si="122">-E301+-E288</f>
        <v>43143806</v>
      </c>
      <c r="F172" s="10">
        <f t="shared" si="122"/>
        <v>43273180</v>
      </c>
      <c r="G172" s="10">
        <f t="shared" si="122"/>
        <v>51347530.999898404</v>
      </c>
      <c r="H172" s="10">
        <f t="shared" si="122"/>
        <v>57345562.49595651</v>
      </c>
      <c r="I172" s="10">
        <f t="shared" si="122"/>
        <v>64210233.446082793</v>
      </c>
      <c r="J172" s="10">
        <f t="shared" si="122"/>
        <v>70445546.414119959</v>
      </c>
      <c r="K172" s="10">
        <f t="shared" si="122"/>
        <v>76198344.610679701</v>
      </c>
    </row>
    <row r="173" spans="1:11" s="31" customFormat="1" ht="15" customHeight="1" x14ac:dyDescent="0.25">
      <c r="A173" s="32"/>
      <c r="B173" s="32"/>
      <c r="C173" s="24" t="s">
        <v>29</v>
      </c>
      <c r="D173" s="36">
        <f>D172/D16</f>
        <v>2.5811960598944833E-2</v>
      </c>
      <c r="E173" s="36">
        <f>E172/E16</f>
        <v>2.037199496176352E-2</v>
      </c>
      <c r="F173" s="36">
        <f>F172/F16</f>
        <v>1.5037648838504851E-2</v>
      </c>
      <c r="G173" s="36">
        <f>G172/G16</f>
        <v>1.4619590793516437E-2</v>
      </c>
      <c r="H173" s="36">
        <f>H172/H16</f>
        <v>1.383263899959546E-2</v>
      </c>
      <c r="I173" s="36">
        <f>I172/I16</f>
        <v>1.3465393048320895E-2</v>
      </c>
      <c r="J173" s="36">
        <f>J172/J16</f>
        <v>1.3188195048879053E-2</v>
      </c>
      <c r="K173" s="36">
        <f>K172/K16</f>
        <v>1.2966907635529074E-2</v>
      </c>
    </row>
    <row r="174" spans="1:11" ht="15" customHeight="1" x14ac:dyDescent="0.25">
      <c r="C174" s="37" t="s">
        <v>155</v>
      </c>
      <c r="D174" s="30">
        <f>D164+D172</f>
        <v>82799438</v>
      </c>
      <c r="E174" s="30">
        <f t="shared" ref="E174:K174" si="123">E164+E172</f>
        <v>86351074</v>
      </c>
      <c r="F174" s="30">
        <f t="shared" si="123"/>
        <v>84629058</v>
      </c>
      <c r="G174" s="30">
        <f t="shared" si="123"/>
        <v>86759301.032923192</v>
      </c>
      <c r="H174" s="30">
        <f t="shared" si="123"/>
        <v>92694527.222767293</v>
      </c>
      <c r="I174" s="30">
        <f t="shared" si="123"/>
        <v>109883130.65339704</v>
      </c>
      <c r="J174" s="30">
        <f t="shared" si="123"/>
        <v>126905436.19804949</v>
      </c>
      <c r="K174" s="30">
        <f t="shared" si="123"/>
        <v>143591405.04245025</v>
      </c>
    </row>
    <row r="176" spans="1:11" x14ac:dyDescent="0.25">
      <c r="C176" s="13" t="s">
        <v>156</v>
      </c>
      <c r="D176" s="245"/>
      <c r="E176" s="13"/>
      <c r="F176" s="13"/>
      <c r="G176" s="13"/>
      <c r="H176" s="13"/>
      <c r="I176" s="13"/>
      <c r="J176" s="13"/>
      <c r="K176" s="13"/>
    </row>
    <row r="177" spans="3:11" x14ac:dyDescent="0.25">
      <c r="C177" s="47" t="s">
        <v>107</v>
      </c>
      <c r="D177" s="48">
        <f t="shared" ref="D177:K177" si="124">D$13</f>
        <v>2023</v>
      </c>
      <c r="E177" s="48">
        <f t="shared" si="124"/>
        <v>2024</v>
      </c>
      <c r="F177" s="48">
        <f t="shared" si="124"/>
        <v>2025</v>
      </c>
      <c r="G177" s="49">
        <f t="shared" si="124"/>
        <v>2026</v>
      </c>
      <c r="H177" s="49">
        <f t="shared" si="124"/>
        <v>2027</v>
      </c>
      <c r="I177" s="49">
        <f t="shared" si="124"/>
        <v>2028</v>
      </c>
      <c r="J177" s="49">
        <f t="shared" si="124"/>
        <v>2029</v>
      </c>
      <c r="K177" s="49">
        <f t="shared" si="124"/>
        <v>2030</v>
      </c>
    </row>
    <row r="178" spans="3:11" x14ac:dyDescent="0.25">
      <c r="C178" s="42" t="s">
        <v>108</v>
      </c>
      <c r="D178" s="43">
        <f t="shared" ref="D178:K178" si="125">D$14</f>
        <v>45291</v>
      </c>
      <c r="E178" s="43">
        <f t="shared" si="125"/>
        <v>45657</v>
      </c>
      <c r="F178" s="43">
        <f t="shared" si="125"/>
        <v>46022</v>
      </c>
      <c r="G178" s="43">
        <f t="shared" si="125"/>
        <v>46387</v>
      </c>
      <c r="H178" s="43">
        <f t="shared" si="125"/>
        <v>46752</v>
      </c>
      <c r="I178" s="43">
        <f t="shared" si="125"/>
        <v>47118</v>
      </c>
      <c r="J178" s="43">
        <f t="shared" si="125"/>
        <v>47483</v>
      </c>
      <c r="K178" s="43">
        <f t="shared" si="125"/>
        <v>47848</v>
      </c>
    </row>
    <row r="179" spans="3:11" x14ac:dyDescent="0.25">
      <c r="C179" s="35"/>
      <c r="D179" s="246"/>
      <c r="E179" s="35"/>
      <c r="F179" s="194"/>
      <c r="G179" s="248"/>
      <c r="H179" s="35"/>
    </row>
    <row r="180" spans="3:11" x14ac:dyDescent="0.25">
      <c r="C180" s="17" t="s">
        <v>309</v>
      </c>
      <c r="D180" s="329">
        <v>1461003005</v>
      </c>
      <c r="E180" s="329">
        <v>2121515235</v>
      </c>
      <c r="F180" s="329">
        <v>2885160592</v>
      </c>
      <c r="G180" s="330">
        <f>F180*(1+G189)</f>
        <v>3519895922.2399998</v>
      </c>
      <c r="H180" s="330">
        <f t="shared" ref="H180:K180" si="126">G180*(1+H189)</f>
        <v>4153477188.2431993</v>
      </c>
      <c r="I180" s="330">
        <f t="shared" si="126"/>
        <v>4776498766.4796791</v>
      </c>
      <c r="J180" s="330">
        <f t="shared" si="126"/>
        <v>5349678618.4572411</v>
      </c>
      <c r="K180" s="330">
        <f t="shared" si="126"/>
        <v>5884646480.3029652</v>
      </c>
    </row>
    <row r="181" spans="3:11" x14ac:dyDescent="0.25">
      <c r="C181" s="17" t="s">
        <v>310</v>
      </c>
      <c r="D181" s="329">
        <v>0</v>
      </c>
      <c r="E181" s="329">
        <v>17568980</v>
      </c>
      <c r="F181" s="329">
        <v>22474435</v>
      </c>
      <c r="G181" s="330">
        <f>F181*(1+G190)</f>
        <v>22654230.48</v>
      </c>
      <c r="H181" s="330">
        <f t="shared" ref="H181:K181" si="127">G181*(1+H190)</f>
        <v>22835464.32384</v>
      </c>
      <c r="I181" s="330">
        <f t="shared" si="127"/>
        <v>23018148.038430721</v>
      </c>
      <c r="J181" s="330">
        <f t="shared" si="127"/>
        <v>23202293.222738165</v>
      </c>
      <c r="K181" s="330">
        <f t="shared" si="127"/>
        <v>23387911.568520069</v>
      </c>
    </row>
    <row r="182" spans="3:11" x14ac:dyDescent="0.25">
      <c r="C182" s="37" t="s">
        <v>311</v>
      </c>
      <c r="D182" s="331">
        <f>SUM(D180:D181)</f>
        <v>1461003005</v>
      </c>
      <c r="E182" s="331">
        <f t="shared" ref="E182:K182" si="128">SUM(E180:E181)</f>
        <v>2139084215</v>
      </c>
      <c r="F182" s="331">
        <f t="shared" si="128"/>
        <v>2907635027</v>
      </c>
      <c r="G182" s="331">
        <f t="shared" si="128"/>
        <v>3542550152.7199998</v>
      </c>
      <c r="H182" s="331">
        <f t="shared" si="128"/>
        <v>4176312652.5670395</v>
      </c>
      <c r="I182" s="331">
        <f t="shared" si="128"/>
        <v>4799516914.5181103</v>
      </c>
      <c r="J182" s="331">
        <f t="shared" si="128"/>
        <v>5372880911.6799793</v>
      </c>
      <c r="K182" s="331">
        <f t="shared" si="128"/>
        <v>5908034391.8714848</v>
      </c>
    </row>
    <row r="183" spans="3:11" x14ac:dyDescent="0.25">
      <c r="C183" s="195"/>
      <c r="D183" s="332"/>
      <c r="E183" s="332"/>
      <c r="F183" s="332"/>
      <c r="G183" s="332"/>
      <c r="H183" s="332"/>
      <c r="I183" s="332"/>
      <c r="J183" s="332"/>
      <c r="K183" s="332"/>
    </row>
    <row r="184" spans="3:11" x14ac:dyDescent="0.25">
      <c r="C184" s="223" t="s">
        <v>312</v>
      </c>
      <c r="D184" s="329">
        <v>0</v>
      </c>
      <c r="E184" s="329">
        <v>-21284457</v>
      </c>
      <c r="F184" s="329">
        <v>-29979054</v>
      </c>
      <c r="G184" s="330">
        <f>F184*(1+G191)</f>
        <v>-30308823.593999997</v>
      </c>
      <c r="H184" s="330">
        <f t="shared" ref="H184:K184" si="129">G184*(1+H191)</f>
        <v>-30642220.653533995</v>
      </c>
      <c r="I184" s="330">
        <f t="shared" si="129"/>
        <v>-30979285.080722865</v>
      </c>
      <c r="J184" s="330">
        <f t="shared" si="129"/>
        <v>-31320057.216610812</v>
      </c>
      <c r="K184" s="330">
        <f t="shared" si="129"/>
        <v>-31664577.845993526</v>
      </c>
    </row>
    <row r="185" spans="3:11" x14ac:dyDescent="0.25">
      <c r="C185" s="37" t="s">
        <v>313</v>
      </c>
      <c r="D185" s="331">
        <f>D182+D184</f>
        <v>1461003005</v>
      </c>
      <c r="E185" s="331">
        <f t="shared" ref="E185:K185" si="130">E182+E184</f>
        <v>2117799758</v>
      </c>
      <c r="F185" s="331">
        <f t="shared" si="130"/>
        <v>2877655973</v>
      </c>
      <c r="G185" s="331">
        <f t="shared" si="130"/>
        <v>3512241329.1259999</v>
      </c>
      <c r="H185" s="331">
        <f t="shared" si="130"/>
        <v>4145670431.9135056</v>
      </c>
      <c r="I185" s="331">
        <f t="shared" si="130"/>
        <v>4768537629.4373875</v>
      </c>
      <c r="J185" s="331">
        <f t="shared" si="130"/>
        <v>5341560854.4633684</v>
      </c>
      <c r="K185" s="331">
        <f t="shared" si="130"/>
        <v>5876369814.0254908</v>
      </c>
    </row>
    <row r="186" spans="3:11" x14ac:dyDescent="0.25">
      <c r="C186" s="195"/>
      <c r="D186" s="201"/>
      <c r="E186" s="201"/>
      <c r="F186" s="201"/>
      <c r="G186" s="201"/>
      <c r="H186" s="201"/>
      <c r="I186" s="201"/>
      <c r="J186" s="201"/>
      <c r="K186" s="201"/>
    </row>
    <row r="187" spans="3:11" x14ac:dyDescent="0.25">
      <c r="C187" s="6" t="s">
        <v>157</v>
      </c>
      <c r="D187" s="198"/>
      <c r="E187" s="198"/>
      <c r="F187" s="198"/>
      <c r="G187" s="198"/>
      <c r="H187" s="198"/>
      <c r="I187" s="198"/>
      <c r="J187" s="198"/>
      <c r="K187" s="198"/>
    </row>
    <row r="188" spans="3:11" x14ac:dyDescent="0.25">
      <c r="D188" s="198"/>
      <c r="E188" s="198"/>
      <c r="F188" s="198"/>
      <c r="G188" s="198"/>
      <c r="H188" s="198"/>
      <c r="I188" s="198"/>
      <c r="J188" s="198"/>
      <c r="K188" s="198"/>
    </row>
    <row r="189" spans="3:11" x14ac:dyDescent="0.25">
      <c r="C189" s="328" t="str">
        <f>C180&amp;" %"</f>
        <v>Gross Product Sales %</v>
      </c>
      <c r="D189" s="1"/>
      <c r="E189" s="1">
        <f>E180/D180-1</f>
        <v>0.45209505233016278</v>
      </c>
      <c r="F189" s="1">
        <f t="shared" ref="F189" si="131">F180/E180-1</f>
        <v>0.35995280373275285</v>
      </c>
      <c r="G189" s="209">
        <v>0.22</v>
      </c>
      <c r="H189" s="209">
        <v>0.18</v>
      </c>
      <c r="I189" s="209">
        <v>0.15</v>
      </c>
      <c r="J189" s="209">
        <v>0.12</v>
      </c>
      <c r="K189" s="209">
        <v>0.1</v>
      </c>
    </row>
    <row r="190" spans="3:11" x14ac:dyDescent="0.25">
      <c r="C190" s="328" t="str">
        <f>C181&amp;" %"</f>
        <v>Delivery Service Revenue %</v>
      </c>
      <c r="D190" s="1"/>
      <c r="E190" s="1"/>
      <c r="F190" s="1">
        <f>F181/E181-1</f>
        <v>0.27921114373173617</v>
      </c>
      <c r="G190" s="209">
        <v>8.0000000000000002E-3</v>
      </c>
      <c r="H190" s="209">
        <v>8.0000000000000002E-3</v>
      </c>
      <c r="I190" s="209">
        <v>8.0000000000000002E-3</v>
      </c>
      <c r="J190" s="209">
        <v>8.0000000000000002E-3</v>
      </c>
      <c r="K190" s="209">
        <v>8.0000000000000002E-3</v>
      </c>
    </row>
    <row r="191" spans="3:11" x14ac:dyDescent="0.25">
      <c r="C191" s="328" t="str">
        <f>C184&amp;" %"</f>
        <v>(Less) Customer Loyalty Points %</v>
      </c>
      <c r="D191" s="1"/>
      <c r="E191" s="1"/>
      <c r="F191" s="1">
        <f t="shared" ref="F191" si="132">F184/E184-1</f>
        <v>0.40849512862836956</v>
      </c>
      <c r="G191" s="209">
        <v>1.0999999999999999E-2</v>
      </c>
      <c r="H191" s="209">
        <v>1.0999999999999999E-2</v>
      </c>
      <c r="I191" s="209">
        <v>1.0999999999999999E-2</v>
      </c>
      <c r="J191" s="209">
        <v>1.0999999999999999E-2</v>
      </c>
      <c r="K191" s="209">
        <v>1.0999999999999999E-2</v>
      </c>
    </row>
    <row r="192" spans="3:11" x14ac:dyDescent="0.25">
      <c r="C192" s="223"/>
      <c r="D192" s="7"/>
      <c r="E192" s="1"/>
      <c r="F192" s="1"/>
      <c r="G192" s="1"/>
      <c r="H192" s="1"/>
      <c r="I192" s="1"/>
      <c r="J192" s="1"/>
      <c r="K192" s="1"/>
    </row>
    <row r="193" spans="3:11" x14ac:dyDescent="0.25">
      <c r="C193" s="13" t="s">
        <v>158</v>
      </c>
    </row>
    <row r="194" spans="3:11" x14ac:dyDescent="0.25">
      <c r="C194" s="47" t="s">
        <v>107</v>
      </c>
      <c r="D194" s="48">
        <f t="shared" ref="D194:K194" si="133">D$13</f>
        <v>2023</v>
      </c>
      <c r="E194" s="48">
        <f t="shared" si="133"/>
        <v>2024</v>
      </c>
      <c r="F194" s="48">
        <f t="shared" si="133"/>
        <v>2025</v>
      </c>
      <c r="G194" s="49">
        <f t="shared" si="133"/>
        <v>2026</v>
      </c>
      <c r="H194" s="49">
        <f t="shared" si="133"/>
        <v>2027</v>
      </c>
      <c r="I194" s="49">
        <f t="shared" si="133"/>
        <v>2028</v>
      </c>
      <c r="J194" s="49">
        <f t="shared" si="133"/>
        <v>2029</v>
      </c>
      <c r="K194" s="49">
        <f t="shared" si="133"/>
        <v>2030</v>
      </c>
    </row>
    <row r="195" spans="3:11" x14ac:dyDescent="0.25">
      <c r="C195" s="42" t="s">
        <v>108</v>
      </c>
      <c r="D195" s="238">
        <f t="shared" ref="D195:K195" si="134">D$14</f>
        <v>45291</v>
      </c>
      <c r="E195" s="224">
        <f t="shared" si="134"/>
        <v>45657</v>
      </c>
      <c r="F195" s="224">
        <f t="shared" si="134"/>
        <v>46022</v>
      </c>
      <c r="G195" s="224">
        <f t="shared" si="134"/>
        <v>46387</v>
      </c>
      <c r="H195" s="224">
        <f t="shared" si="134"/>
        <v>46752</v>
      </c>
      <c r="I195" s="224">
        <f t="shared" si="134"/>
        <v>47118</v>
      </c>
      <c r="J195" s="224">
        <f t="shared" si="134"/>
        <v>47483</v>
      </c>
      <c r="K195" s="224">
        <f t="shared" si="134"/>
        <v>47848</v>
      </c>
    </row>
    <row r="196" spans="3:11" x14ac:dyDescent="0.25">
      <c r="D196" s="6"/>
    </row>
    <row r="197" spans="3:11" x14ac:dyDescent="0.25">
      <c r="C197" s="13" t="s">
        <v>159</v>
      </c>
      <c r="D197" s="6"/>
    </row>
    <row r="198" spans="3:11" x14ac:dyDescent="0.25">
      <c r="C198" s="17" t="s">
        <v>321</v>
      </c>
      <c r="D198" s="27">
        <f>D70</f>
        <v>138912639</v>
      </c>
      <c r="E198" s="27">
        <f>E70</f>
        <v>208473803</v>
      </c>
      <c r="F198" s="27">
        <f>F70</f>
        <v>258826409</v>
      </c>
      <c r="G198" s="27">
        <f>G220/365*-G17</f>
        <v>331829223.09092742</v>
      </c>
      <c r="H198" s="27">
        <f>H220/365*-H17</f>
        <v>391674281.37838453</v>
      </c>
      <c r="I198" s="27">
        <f>I220/365*-I17</f>
        <v>450521472.92219722</v>
      </c>
      <c r="J198" s="27">
        <f>J220/365*-J17</f>
        <v>504659510.07716274</v>
      </c>
      <c r="K198" s="27">
        <f>K220/365*-K17</f>
        <v>555187143.26737046</v>
      </c>
    </row>
    <row r="199" spans="3:11" x14ac:dyDescent="0.25">
      <c r="C199" s="17" t="s">
        <v>341</v>
      </c>
      <c r="D199" s="27">
        <f>D71</f>
        <v>16938225</v>
      </c>
      <c r="E199" s="27">
        <f>E71</f>
        <v>27584770</v>
      </c>
      <c r="F199" s="27">
        <f>F71</f>
        <v>31142087</v>
      </c>
      <c r="G199" s="27">
        <f>G221/365*G16</f>
        <v>38009590.466301903</v>
      </c>
      <c r="H199" s="27">
        <f>H221/365*H16</f>
        <v>44864580.921180867</v>
      </c>
      <c r="I199" s="27">
        <f>I221/365*I16</f>
        <v>51605270.09206631</v>
      </c>
      <c r="J199" s="27">
        <f>J221/365*J16</f>
        <v>57806546.163359798</v>
      </c>
      <c r="K199" s="27">
        <f>K221/365*K16</f>
        <v>63594266.204716906</v>
      </c>
    </row>
    <row r="200" spans="3:11" x14ac:dyDescent="0.25">
      <c r="C200" s="17" t="s">
        <v>342</v>
      </c>
      <c r="D200" s="27">
        <f>D72</f>
        <v>39168713</v>
      </c>
      <c r="E200" s="27">
        <f>E72</f>
        <v>51382391</v>
      </c>
      <c r="F200" s="27">
        <f>F72</f>
        <v>69499941</v>
      </c>
      <c r="G200" s="27">
        <f>$F200/$F$16*G$16</f>
        <v>84826180.558873415</v>
      </c>
      <c r="H200" s="27">
        <f t="shared" ref="H200:K201" si="135">$F200/$F$16*H$16</f>
        <v>100124494.77171507</v>
      </c>
      <c r="I200" s="27">
        <f t="shared" si="135"/>
        <v>115167722.27524999</v>
      </c>
      <c r="J200" s="27">
        <f t="shared" si="135"/>
        <v>129007139.04521821</v>
      </c>
      <c r="K200" s="27">
        <f t="shared" si="135"/>
        <v>141923620.89175716</v>
      </c>
    </row>
    <row r="201" spans="3:11" x14ac:dyDescent="0.25">
      <c r="C201" s="17" t="s">
        <v>324</v>
      </c>
      <c r="D201" s="27">
        <f>D73</f>
        <v>4251648</v>
      </c>
      <c r="E201" s="27">
        <f>E73</f>
        <v>3388601</v>
      </c>
      <c r="F201" s="27">
        <f>F73</f>
        <v>0</v>
      </c>
      <c r="G201" s="27">
        <f>$F201/$F$16*G$16</f>
        <v>0</v>
      </c>
      <c r="H201" s="27">
        <f t="shared" si="135"/>
        <v>0</v>
      </c>
      <c r="I201" s="27">
        <f t="shared" si="135"/>
        <v>0</v>
      </c>
      <c r="J201" s="27">
        <f t="shared" si="135"/>
        <v>0</v>
      </c>
      <c r="K201" s="27">
        <f t="shared" si="135"/>
        <v>0</v>
      </c>
    </row>
    <row r="202" spans="3:11" x14ac:dyDescent="0.25">
      <c r="C202" s="13" t="s">
        <v>160</v>
      </c>
      <c r="D202" s="210">
        <f>SUM(D198:D201)</f>
        <v>199271225</v>
      </c>
      <c r="E202" s="210">
        <f t="shared" ref="E202:K202" si="136">SUM(E198:E201)</f>
        <v>290829565</v>
      </c>
      <c r="F202" s="210">
        <f t="shared" si="136"/>
        <v>359468437</v>
      </c>
      <c r="G202" s="210">
        <f t="shared" si="136"/>
        <v>454664994.11610276</v>
      </c>
      <c r="H202" s="210">
        <f t="shared" si="136"/>
        <v>536663357.07128048</v>
      </c>
      <c r="I202" s="210">
        <f t="shared" si="136"/>
        <v>617294465.28951347</v>
      </c>
      <c r="J202" s="210">
        <f t="shared" si="136"/>
        <v>691473195.28574073</v>
      </c>
      <c r="K202" s="210">
        <f t="shared" si="136"/>
        <v>760705030.36384451</v>
      </c>
    </row>
    <row r="203" spans="3:11" x14ac:dyDescent="0.25">
      <c r="C203" s="13"/>
      <c r="E203" s="28"/>
      <c r="F203" s="28"/>
      <c r="G203" s="7"/>
      <c r="H203" s="7"/>
      <c r="I203" s="7"/>
      <c r="J203" s="7"/>
      <c r="K203" s="7"/>
    </row>
    <row r="204" spans="3:11" x14ac:dyDescent="0.25">
      <c r="C204" s="13" t="s">
        <v>161</v>
      </c>
      <c r="E204" s="28"/>
      <c r="F204" s="28"/>
      <c r="G204" s="7"/>
      <c r="H204" s="7"/>
      <c r="I204" s="7"/>
      <c r="J204" s="7"/>
      <c r="K204" s="7"/>
    </row>
    <row r="205" spans="3:11" x14ac:dyDescent="0.25">
      <c r="C205" s="17" t="s">
        <v>343</v>
      </c>
      <c r="D205" s="19">
        <f>D96</f>
        <v>157741673</v>
      </c>
      <c r="E205" s="19">
        <f>E96</f>
        <v>215771496</v>
      </c>
      <c r="F205" s="19">
        <f>F96</f>
        <v>242113642</v>
      </c>
      <c r="G205" s="27">
        <f>G222/365*-G17</f>
        <v>344016365.1439603</v>
      </c>
      <c r="H205" s="27">
        <f>H222/365*-H17</f>
        <v>406059361.93643391</v>
      </c>
      <c r="I205" s="27">
        <f>I222/365*-I17</f>
        <v>467067843.1824798</v>
      </c>
      <c r="J205" s="27">
        <f>J222/365*-J17</f>
        <v>523194216.21435857</v>
      </c>
      <c r="K205" s="27">
        <f>K222/365*-K17</f>
        <v>575577585.42912936</v>
      </c>
    </row>
    <row r="206" spans="3:11" x14ac:dyDescent="0.25">
      <c r="C206" s="17" t="s">
        <v>344</v>
      </c>
      <c r="D206" s="19">
        <f>D98</f>
        <v>88281718</v>
      </c>
      <c r="E206" s="19">
        <f>E98</f>
        <v>104670165</v>
      </c>
      <c r="F206" s="19">
        <f>F98</f>
        <v>134517644</v>
      </c>
      <c r="G206" s="27">
        <f>$F206/$F$16*G$16</f>
        <v>164181692.73407376</v>
      </c>
      <c r="H206" s="27">
        <f t="shared" ref="H206:K206" si="137">$F206/$F$16*H$16</f>
        <v>193791691.75670853</v>
      </c>
      <c r="I206" s="27">
        <f t="shared" si="137"/>
        <v>222907968.58824596</v>
      </c>
      <c r="J206" s="27">
        <f t="shared" si="137"/>
        <v>249694260.94251162</v>
      </c>
      <c r="K206" s="27">
        <f t="shared" si="137"/>
        <v>274694206.00383461</v>
      </c>
    </row>
    <row r="207" spans="3:11" x14ac:dyDescent="0.25">
      <c r="C207" s="17" t="s">
        <v>339</v>
      </c>
      <c r="D207" s="19">
        <f>D97</f>
        <v>30978907</v>
      </c>
      <c r="E207" s="19">
        <f>E97</f>
        <v>1030309</v>
      </c>
      <c r="F207" s="19">
        <f>F97</f>
        <v>3590464</v>
      </c>
      <c r="G207" s="27">
        <f>$F207/$F$16*G$16</f>
        <v>4382238.9367803186</v>
      </c>
      <c r="H207" s="27">
        <f t="shared" ref="H207:K207" si="138">$F207/$F$16*H$16</f>
        <v>5172571.2111903979</v>
      </c>
      <c r="I207" s="27">
        <f t="shared" si="138"/>
        <v>5949725.350001134</v>
      </c>
      <c r="J207" s="27">
        <f t="shared" si="138"/>
        <v>6664688.9453452965</v>
      </c>
      <c r="K207" s="27">
        <f t="shared" si="138"/>
        <v>7331972.4337823819</v>
      </c>
    </row>
    <row r="208" spans="3:11" x14ac:dyDescent="0.25">
      <c r="C208" s="13" t="s">
        <v>162</v>
      </c>
      <c r="D208" s="213">
        <f>SUM(D205:D207)</f>
        <v>277002298</v>
      </c>
      <c r="E208" s="213">
        <f t="shared" ref="E208:K208" si="139">SUM(E205:E207)</f>
        <v>321471970</v>
      </c>
      <c r="F208" s="213">
        <f t="shared" si="139"/>
        <v>380221750</v>
      </c>
      <c r="G208" s="213">
        <f t="shared" si="139"/>
        <v>512580296.81481439</v>
      </c>
      <c r="H208" s="213">
        <f t="shared" si="139"/>
        <v>605023624.90433276</v>
      </c>
      <c r="I208" s="213">
        <f t="shared" si="139"/>
        <v>695925537.12072682</v>
      </c>
      <c r="J208" s="213">
        <f t="shared" si="139"/>
        <v>779553166.10221541</v>
      </c>
      <c r="K208" s="213">
        <f t="shared" si="139"/>
        <v>857603763.86674631</v>
      </c>
    </row>
    <row r="209" spans="3:11" x14ac:dyDescent="0.25">
      <c r="E209" s="28"/>
      <c r="F209" s="28"/>
      <c r="G209" s="7"/>
      <c r="H209" s="7"/>
      <c r="I209" s="7"/>
      <c r="J209" s="7"/>
      <c r="K209" s="7"/>
    </row>
    <row r="210" spans="3:11" x14ac:dyDescent="0.25">
      <c r="C210" s="6" t="s">
        <v>163</v>
      </c>
      <c r="D210" s="19">
        <f t="shared" ref="D210:K210" si="140">D202-D208</f>
        <v>-77731073</v>
      </c>
      <c r="E210" s="19">
        <f t="shared" si="140"/>
        <v>-30642405</v>
      </c>
      <c r="F210" s="19">
        <f t="shared" si="140"/>
        <v>-20753313</v>
      </c>
      <c r="G210" s="19">
        <f t="shared" si="140"/>
        <v>-57915302.698711634</v>
      </c>
      <c r="H210" s="19">
        <f t="shared" si="140"/>
        <v>-68360267.833052278</v>
      </c>
      <c r="I210" s="19">
        <f t="shared" si="140"/>
        <v>-78631071.831213355</v>
      </c>
      <c r="J210" s="19">
        <f t="shared" si="140"/>
        <v>-88079970.816474676</v>
      </c>
      <c r="K210" s="19">
        <f t="shared" si="140"/>
        <v>-96898733.502901793</v>
      </c>
    </row>
    <row r="211" spans="3:11" x14ac:dyDescent="0.25">
      <c r="C211" s="6" t="s">
        <v>164</v>
      </c>
      <c r="D211" s="22">
        <f>D210/D16</f>
        <v>-5.320391041906173E-2</v>
      </c>
      <c r="E211" s="22">
        <f>E210/E16</f>
        <v>-1.4468981254836841E-2</v>
      </c>
      <c r="F211" s="22">
        <f>F210/F16</f>
        <v>-7.2118811959180637E-3</v>
      </c>
      <c r="G211" s="22">
        <f>G210/G16</f>
        <v>-1.648955674498697E-2</v>
      </c>
      <c r="H211" s="22">
        <f>H210/H16</f>
        <v>-1.6489556744986943E-2</v>
      </c>
      <c r="I211" s="22">
        <f>I210/I16</f>
        <v>-1.648955674498695E-2</v>
      </c>
      <c r="J211" s="22">
        <f>J210/J16</f>
        <v>-1.6489556744986946E-2</v>
      </c>
      <c r="K211" s="22">
        <f>K210/K16</f>
        <v>-1.648955674498696E-2</v>
      </c>
    </row>
    <row r="212" spans="3:11" x14ac:dyDescent="0.25">
      <c r="C212" s="6" t="s">
        <v>165</v>
      </c>
      <c r="D212" s="19"/>
      <c r="E212" s="183">
        <f>D210-E210</f>
        <v>-47088668</v>
      </c>
      <c r="F212" s="183">
        <f t="shared" ref="F212:K212" si="141">E210-F210</f>
        <v>-9889092</v>
      </c>
      <c r="G212" s="183">
        <f t="shared" si="141"/>
        <v>37161989.698711634</v>
      </c>
      <c r="H212" s="183">
        <f t="shared" si="141"/>
        <v>10444965.134340644</v>
      </c>
      <c r="I212" s="183">
        <f t="shared" si="141"/>
        <v>10270803.998161077</v>
      </c>
      <c r="J212" s="183">
        <f t="shared" si="141"/>
        <v>9448898.9852613211</v>
      </c>
      <c r="K212" s="183">
        <f t="shared" si="141"/>
        <v>8818762.6864271164</v>
      </c>
    </row>
    <row r="213" spans="3:11" x14ac:dyDescent="0.25">
      <c r="D213" s="19"/>
      <c r="E213" s="183"/>
      <c r="F213" s="183"/>
      <c r="G213" s="183"/>
      <c r="H213" s="183"/>
      <c r="I213" s="183"/>
      <c r="J213" s="183"/>
      <c r="K213" s="183"/>
    </row>
    <row r="214" spans="3:11" x14ac:dyDescent="0.25">
      <c r="C214" s="13" t="s">
        <v>345</v>
      </c>
      <c r="G214" s="232"/>
      <c r="H214" s="232"/>
      <c r="I214" s="232"/>
      <c r="J214" s="232"/>
      <c r="K214" s="232"/>
    </row>
    <row r="215" spans="3:11" x14ac:dyDescent="0.25">
      <c r="C215" s="17" t="s">
        <v>321</v>
      </c>
      <c r="D215" s="333">
        <f>-D17/AVERAGE(D198:E198)</f>
        <v>5.6929976674219196</v>
      </c>
      <c r="E215" s="333">
        <f>-E17/AVERAGE(E198:F198)</f>
        <v>6.1031672975145153</v>
      </c>
      <c r="F215" s="333">
        <f>-F17/AVERAGE(F198:G198)</f>
        <v>6.5132434382810862</v>
      </c>
      <c r="G215" s="333">
        <f>-G17/AVERAGE(G198:H198)</f>
        <v>6.5328599686121569</v>
      </c>
      <c r="H215" s="333">
        <f>-H17/AVERAGE(H198:I198)</f>
        <v>6.6243209448131717</v>
      </c>
      <c r="I215" s="333">
        <f>-I17/AVERAGE(I198:J198)</f>
        <v>6.7182967980235011</v>
      </c>
      <c r="J215" s="333">
        <f>-J17/AVERAGE(J198:K198)</f>
        <v>6.7824216732056826</v>
      </c>
      <c r="K215" s="333">
        <f>-K17/AVERAGE(K198:L198)</f>
        <v>7.1219572487788581</v>
      </c>
    </row>
    <row r="216" spans="3:11" x14ac:dyDescent="0.25">
      <c r="C216" s="17" t="s">
        <v>341</v>
      </c>
      <c r="D216" s="333">
        <f>D16/AVERAGE(D199:E199)</f>
        <v>65.629143097853145</v>
      </c>
      <c r="E216" s="333">
        <f>E16/AVERAGE(E199:F199)</f>
        <v>72.123722132788416</v>
      </c>
      <c r="F216" s="333">
        <f>F16/AVERAGE(F199:G199)</f>
        <v>83.227365652909924</v>
      </c>
      <c r="G216" s="333">
        <f>G16/AVERAGE(G199:H199)</f>
        <v>84.7608192111948</v>
      </c>
      <c r="H216" s="333">
        <f>H16/AVERAGE(H199:I199)</f>
        <v>85.947482832625596</v>
      </c>
      <c r="I216" s="333">
        <f>I16/AVERAGE(I199:J199)</f>
        <v>87.166775813410354</v>
      </c>
      <c r="J216" s="333">
        <f>J16/AVERAGE(J199:K199)</f>
        <v>87.998766240018568</v>
      </c>
      <c r="K216" s="333">
        <f>K16/AVERAGE(K199:L199)</f>
        <v>92.404082391780619</v>
      </c>
    </row>
    <row r="217" spans="3:11" x14ac:dyDescent="0.25">
      <c r="C217" s="17" t="s">
        <v>343</v>
      </c>
      <c r="D217" s="333">
        <f>-D19/AVERAGE(D205:E205)</f>
        <v>1.6751979580136303</v>
      </c>
      <c r="E217" s="333">
        <f>-E19/AVERAGE(E205:F205)</f>
        <v>1.7726495940560534</v>
      </c>
      <c r="F217" s="333">
        <f>-F19/AVERAGE(F205:G205)</f>
        <v>2.0212408468434235</v>
      </c>
      <c r="G217" s="333">
        <f>-G19/AVERAGE(G205:H205)</f>
        <v>1.8440505418520825</v>
      </c>
      <c r="H217" s="333">
        <f>-H19/AVERAGE(H205:I205)</f>
        <v>1.8681572367269839</v>
      </c>
      <c r="I217" s="333">
        <f>-I19/AVERAGE(I205:J205)</f>
        <v>1.8934035640607243</v>
      </c>
      <c r="J217" s="333">
        <f>-J19/AVERAGE(J205:K205)</f>
        <v>1.9105701991976041</v>
      </c>
      <c r="K217" s="333">
        <f>-K19/AVERAGE(K205:L205)</f>
        <v>2.0054953125801691</v>
      </c>
    </row>
    <row r="218" spans="3:11" x14ac:dyDescent="0.25">
      <c r="C218" s="17"/>
      <c r="D218" s="233"/>
      <c r="E218" s="233"/>
      <c r="F218" s="233"/>
      <c r="G218" s="249"/>
      <c r="H218" s="249"/>
      <c r="I218" s="249"/>
      <c r="J218" s="249"/>
      <c r="K218" s="249"/>
    </row>
    <row r="219" spans="3:11" x14ac:dyDescent="0.25">
      <c r="C219" s="13" t="s">
        <v>346</v>
      </c>
      <c r="G219" s="249"/>
      <c r="H219" s="249"/>
      <c r="I219" s="249"/>
      <c r="J219" s="249"/>
      <c r="K219" s="249"/>
    </row>
    <row r="220" spans="3:11" x14ac:dyDescent="0.25">
      <c r="C220" s="17" t="s">
        <v>166</v>
      </c>
      <c r="D220" s="233">
        <f>D198/-D17*365</f>
        <v>51.275600079779529</v>
      </c>
      <c r="E220" s="233">
        <f>E198/-E17*365</f>
        <v>53.360893888469391</v>
      </c>
      <c r="F220" s="233">
        <f>F198/-F17*365</f>
        <v>49.113375870937588</v>
      </c>
      <c r="G220" s="249">
        <f>AVERAGE(D220:F220)</f>
        <v>51.24995661306216</v>
      </c>
      <c r="H220" s="249">
        <f>G220</f>
        <v>51.24995661306216</v>
      </c>
      <c r="I220" s="249">
        <f t="shared" ref="I220:K220" si="142">H220</f>
        <v>51.24995661306216</v>
      </c>
      <c r="J220" s="249">
        <f t="shared" si="142"/>
        <v>51.24995661306216</v>
      </c>
      <c r="K220" s="249">
        <f t="shared" si="142"/>
        <v>51.24995661306216</v>
      </c>
    </row>
    <row r="221" spans="3:11" x14ac:dyDescent="0.25">
      <c r="C221" s="17" t="s">
        <v>167</v>
      </c>
      <c r="D221" s="233">
        <f>D199/D16*365</f>
        <v>4.2316491505094476</v>
      </c>
      <c r="E221" s="233">
        <f>E199/E16*365</f>
        <v>4.7541987914421133</v>
      </c>
      <c r="F221" s="233">
        <f>F199/F16*365</f>
        <v>3.950041930533438</v>
      </c>
      <c r="G221" s="249">
        <f>F221</f>
        <v>3.950041930533438</v>
      </c>
      <c r="H221" s="249">
        <f>G221</f>
        <v>3.950041930533438</v>
      </c>
      <c r="I221" s="249">
        <f t="shared" ref="I221:K221" si="143">H221</f>
        <v>3.950041930533438</v>
      </c>
      <c r="J221" s="249">
        <f t="shared" si="143"/>
        <v>3.950041930533438</v>
      </c>
      <c r="K221" s="249">
        <f t="shared" si="143"/>
        <v>3.950041930533438</v>
      </c>
    </row>
    <row r="222" spans="3:11" x14ac:dyDescent="0.25">
      <c r="C222" s="17" t="s">
        <v>168</v>
      </c>
      <c r="D222" s="233">
        <f>D205/-D17*365</f>
        <v>58.22579571512825</v>
      </c>
      <c r="E222" s="233">
        <f>E205/-E17*365</f>
        <v>55.228809262966713</v>
      </c>
      <c r="F222" s="233">
        <f>F205/-F17*365</f>
        <v>45.942059579506129</v>
      </c>
      <c r="G222" s="249">
        <f>AVERAGE(D222:F222)</f>
        <v>53.132221519200364</v>
      </c>
      <c r="H222" s="249">
        <f>G222</f>
        <v>53.132221519200364</v>
      </c>
      <c r="I222" s="249">
        <f t="shared" ref="I222:K222" si="144">H222</f>
        <v>53.132221519200364</v>
      </c>
      <c r="J222" s="249">
        <f t="shared" si="144"/>
        <v>53.132221519200364</v>
      </c>
      <c r="K222" s="249">
        <f t="shared" si="144"/>
        <v>53.132221519200364</v>
      </c>
    </row>
    <row r="223" spans="3:11" x14ac:dyDescent="0.25">
      <c r="C223" s="17"/>
      <c r="D223" s="233"/>
      <c r="E223" s="233"/>
      <c r="F223" s="233"/>
      <c r="G223" s="249"/>
      <c r="H223" s="249"/>
      <c r="I223" s="249"/>
      <c r="J223" s="249"/>
      <c r="K223" s="249"/>
    </row>
    <row r="224" spans="3:11" x14ac:dyDescent="0.25">
      <c r="C224" s="13" t="s">
        <v>169</v>
      </c>
    </row>
    <row r="225" spans="3:11" x14ac:dyDescent="0.25">
      <c r="C225" s="47" t="s">
        <v>107</v>
      </c>
      <c r="D225" s="48">
        <f t="shared" ref="D225:K225" si="145">D$13</f>
        <v>2023</v>
      </c>
      <c r="E225" s="48">
        <f t="shared" si="145"/>
        <v>2024</v>
      </c>
      <c r="F225" s="48">
        <f t="shared" si="145"/>
        <v>2025</v>
      </c>
      <c r="G225" s="49">
        <f t="shared" si="145"/>
        <v>2026</v>
      </c>
      <c r="H225" s="49">
        <f t="shared" si="145"/>
        <v>2027</v>
      </c>
      <c r="I225" s="49">
        <f t="shared" si="145"/>
        <v>2028</v>
      </c>
      <c r="J225" s="49">
        <f t="shared" si="145"/>
        <v>2029</v>
      </c>
      <c r="K225" s="49">
        <f t="shared" si="145"/>
        <v>2030</v>
      </c>
    </row>
    <row r="226" spans="3:11" x14ac:dyDescent="0.25">
      <c r="C226" s="42" t="s">
        <v>108</v>
      </c>
      <c r="D226" s="238">
        <f t="shared" ref="D226:K226" si="146">D$14</f>
        <v>45291</v>
      </c>
      <c r="E226" s="224">
        <f t="shared" si="146"/>
        <v>45657</v>
      </c>
      <c r="F226" s="224">
        <f t="shared" si="146"/>
        <v>46022</v>
      </c>
      <c r="G226" s="224">
        <f t="shared" si="146"/>
        <v>46387</v>
      </c>
      <c r="H226" s="224">
        <f t="shared" si="146"/>
        <v>46752</v>
      </c>
      <c r="I226" s="224">
        <f t="shared" si="146"/>
        <v>47118</v>
      </c>
      <c r="J226" s="224">
        <f t="shared" si="146"/>
        <v>47483</v>
      </c>
      <c r="K226" s="224">
        <f t="shared" si="146"/>
        <v>47848</v>
      </c>
    </row>
    <row r="228" spans="3:11" x14ac:dyDescent="0.25">
      <c r="C228" s="13" t="s">
        <v>170</v>
      </c>
      <c r="D228" s="19"/>
      <c r="E228" s="183"/>
      <c r="F228" s="183"/>
      <c r="G228" s="183"/>
      <c r="H228" s="183"/>
      <c r="I228" s="183"/>
      <c r="J228" s="183"/>
      <c r="K228" s="183"/>
    </row>
    <row r="229" spans="3:11" x14ac:dyDescent="0.25">
      <c r="C229" s="29" t="s">
        <v>147</v>
      </c>
      <c r="D229" s="19"/>
      <c r="E229" s="183">
        <f>D232</f>
        <v>127986330</v>
      </c>
      <c r="F229" s="183">
        <f t="shared" ref="F229:K229" si="147">E232</f>
        <v>50000047</v>
      </c>
      <c r="G229" s="183">
        <f t="shared" si="147"/>
        <v>22377172</v>
      </c>
      <c r="H229" s="183">
        <f t="shared" si="147"/>
        <v>6441727</v>
      </c>
      <c r="I229" s="183">
        <f t="shared" si="147"/>
        <v>0</v>
      </c>
      <c r="J229" s="183">
        <f t="shared" si="147"/>
        <v>0</v>
      </c>
      <c r="K229" s="183">
        <f t="shared" si="147"/>
        <v>0</v>
      </c>
    </row>
    <row r="230" spans="3:11" x14ac:dyDescent="0.25">
      <c r="C230" s="29" t="s">
        <v>393</v>
      </c>
      <c r="D230" s="19"/>
      <c r="E230" s="183">
        <v>0</v>
      </c>
      <c r="F230" s="183">
        <f>E230</f>
        <v>0</v>
      </c>
      <c r="G230" s="183">
        <f t="shared" ref="G230:K230" si="148">F230</f>
        <v>0</v>
      </c>
      <c r="H230" s="183">
        <f t="shared" si="148"/>
        <v>0</v>
      </c>
      <c r="I230" s="183">
        <f t="shared" si="148"/>
        <v>0</v>
      </c>
      <c r="J230" s="183">
        <f t="shared" si="148"/>
        <v>0</v>
      </c>
      <c r="K230" s="183">
        <f t="shared" si="148"/>
        <v>0</v>
      </c>
    </row>
    <row r="231" spans="3:11" x14ac:dyDescent="0.25">
      <c r="C231" s="29" t="s">
        <v>394</v>
      </c>
      <c r="D231" s="19"/>
      <c r="E231" s="183"/>
      <c r="F231" s="183"/>
      <c r="G231" s="183">
        <v>15935445</v>
      </c>
      <c r="H231" s="183">
        <v>6441727</v>
      </c>
      <c r="I231" s="183">
        <v>0</v>
      </c>
      <c r="J231" s="183">
        <v>0</v>
      </c>
      <c r="K231" s="183">
        <v>0</v>
      </c>
    </row>
    <row r="232" spans="3:11" x14ac:dyDescent="0.25">
      <c r="C232" s="29" t="s">
        <v>150</v>
      </c>
      <c r="D232" s="19">
        <f>D93+D95+D103</f>
        <v>127986330</v>
      </c>
      <c r="E232" s="19">
        <f>E93+E95+E103</f>
        <v>50000047</v>
      </c>
      <c r="F232" s="19">
        <f>F93+F95+F103</f>
        <v>22377172</v>
      </c>
      <c r="G232" s="19">
        <f>G229+G230-G231</f>
        <v>6441727</v>
      </c>
      <c r="H232" s="19">
        <f t="shared" ref="H232:K232" si="149">H229+H230-H231</f>
        <v>0</v>
      </c>
      <c r="I232" s="19">
        <f t="shared" si="149"/>
        <v>0</v>
      </c>
      <c r="J232" s="19">
        <f t="shared" si="149"/>
        <v>0</v>
      </c>
      <c r="K232" s="19">
        <f t="shared" si="149"/>
        <v>0</v>
      </c>
    </row>
    <row r="233" spans="3:11" x14ac:dyDescent="0.25">
      <c r="C233" s="29" t="s">
        <v>171</v>
      </c>
      <c r="D233" s="19"/>
      <c r="E233" s="183">
        <f>AVERAGE(E229,E232)</f>
        <v>88993188.5</v>
      </c>
      <c r="F233" s="183">
        <f t="shared" ref="F233:K233" si="150">AVERAGE(F229,F232)</f>
        <v>36188609.5</v>
      </c>
      <c r="G233" s="183">
        <f t="shared" si="150"/>
        <v>14409449.5</v>
      </c>
      <c r="H233" s="183">
        <f t="shared" si="150"/>
        <v>3220863.5</v>
      </c>
      <c r="I233" s="183">
        <f t="shared" si="150"/>
        <v>0</v>
      </c>
      <c r="J233" s="183">
        <f t="shared" si="150"/>
        <v>0</v>
      </c>
      <c r="K233" s="183">
        <f t="shared" si="150"/>
        <v>0</v>
      </c>
    </row>
    <row r="234" spans="3:11" x14ac:dyDescent="0.25">
      <c r="C234" s="29" t="s">
        <v>172</v>
      </c>
      <c r="D234" s="22"/>
      <c r="E234" s="1">
        <f>-E241/E233</f>
        <v>0.62500199102316689</v>
      </c>
      <c r="F234" s="1">
        <f t="shared" ref="F234" si="151">-F241/F233</f>
        <v>1.0439991345895729</v>
      </c>
      <c r="G234" s="209">
        <v>0.2</v>
      </c>
      <c r="H234" s="209">
        <f>G234</f>
        <v>0.2</v>
      </c>
      <c r="I234" s="209">
        <f t="shared" ref="I234:K234" si="152">H234</f>
        <v>0.2</v>
      </c>
      <c r="J234" s="209">
        <f t="shared" si="152"/>
        <v>0.2</v>
      </c>
      <c r="K234" s="209">
        <f t="shared" si="152"/>
        <v>0.2</v>
      </c>
    </row>
    <row r="235" spans="3:11" x14ac:dyDescent="0.25">
      <c r="C235" s="17"/>
      <c r="D235" s="244"/>
      <c r="E235" s="205"/>
      <c r="F235" s="205"/>
      <c r="G235" s="206"/>
      <c r="H235" s="206"/>
      <c r="I235" s="206"/>
      <c r="J235" s="206"/>
      <c r="K235" s="206"/>
    </row>
    <row r="236" spans="3:11" x14ac:dyDescent="0.25">
      <c r="C236" s="13" t="s">
        <v>173</v>
      </c>
      <c r="D236" s="7"/>
    </row>
    <row r="237" spans="3:11" x14ac:dyDescent="0.25">
      <c r="C237" s="17" t="s">
        <v>174</v>
      </c>
      <c r="D237" s="183">
        <f>D69+D74</f>
        <v>71703738</v>
      </c>
      <c r="E237" s="183">
        <f>E69+E74</f>
        <v>93205257</v>
      </c>
      <c r="F237" s="183">
        <f>F69+F74</f>
        <v>306003759</v>
      </c>
      <c r="G237" s="183">
        <f>G69+G74</f>
        <v>364339486.62656695</v>
      </c>
      <c r="H237" s="183">
        <f>H69+H74</f>
        <v>498607483.70045131</v>
      </c>
      <c r="I237" s="183">
        <f>I69+I74</f>
        <v>650795449.00696623</v>
      </c>
      <c r="J237" s="183">
        <f>J69+J74</f>
        <v>813582368.17115283</v>
      </c>
      <c r="K237" s="183">
        <f>K69+K74</f>
        <v>996491174.74343967</v>
      </c>
    </row>
    <row r="238" spans="3:11" x14ac:dyDescent="0.25">
      <c r="C238" s="17" t="s">
        <v>175</v>
      </c>
      <c r="D238" s="183"/>
      <c r="E238" s="183">
        <f>AVERAGE(D237,E237)</f>
        <v>82454497.5</v>
      </c>
      <c r="F238" s="183">
        <f t="shared" ref="F238" si="153">AVERAGE(E237,F237)</f>
        <v>199604508</v>
      </c>
      <c r="G238" s="183">
        <f t="shared" ref="G238" si="154">AVERAGE(F237,G237)</f>
        <v>335171622.81328344</v>
      </c>
      <c r="H238" s="183">
        <f t="shared" ref="H238" si="155">AVERAGE(G237,H237)</f>
        <v>431473485.16350913</v>
      </c>
      <c r="I238" s="183">
        <f t="shared" ref="I238" si="156">AVERAGE(H237,I237)</f>
        <v>574701466.35370874</v>
      </c>
      <c r="J238" s="183">
        <f t="shared" ref="J238" si="157">AVERAGE(I237,J237)</f>
        <v>732188908.58905959</v>
      </c>
      <c r="K238" s="183">
        <f t="shared" ref="K238" si="158">AVERAGE(J237,K237)</f>
        <v>905036771.45729625</v>
      </c>
    </row>
    <row r="239" spans="3:11" x14ac:dyDescent="0.25">
      <c r="C239" s="17" t="s">
        <v>176</v>
      </c>
      <c r="D239" s="1"/>
      <c r="E239" s="1">
        <f>E242/E238</f>
        <v>0.10288512157872286</v>
      </c>
      <c r="F239" s="1">
        <f t="shared" ref="F239" si="159">F242/F238</f>
        <v>0.180557525283948</v>
      </c>
      <c r="G239" s="209">
        <v>0.14000000000000001</v>
      </c>
      <c r="H239" s="209">
        <v>0.12</v>
      </c>
      <c r="I239" s="209">
        <v>0.1</v>
      </c>
      <c r="J239" s="209">
        <v>8.5000000000000006E-2</v>
      </c>
      <c r="K239" s="209">
        <f t="shared" ref="K239" si="160">J239</f>
        <v>8.5000000000000006E-2</v>
      </c>
    </row>
    <row r="240" spans="3:11" x14ac:dyDescent="0.25">
      <c r="C240" s="17"/>
      <c r="D240" s="244"/>
      <c r="E240" s="205"/>
      <c r="F240" s="205"/>
      <c r="G240" s="206"/>
      <c r="H240" s="206"/>
      <c r="I240" s="206"/>
      <c r="J240" s="206"/>
      <c r="K240" s="206"/>
    </row>
    <row r="241" spans="3:11" x14ac:dyDescent="0.25">
      <c r="C241" s="6" t="s">
        <v>223</v>
      </c>
      <c r="D241" s="231">
        <f>D26</f>
        <v>-47950964</v>
      </c>
      <c r="E241" s="231">
        <f>E26</f>
        <v>-55620920</v>
      </c>
      <c r="F241" s="231">
        <f>F26</f>
        <v>-37780877</v>
      </c>
      <c r="G241" s="19">
        <f>-(G234*F233)-G270</f>
        <v>-40228350.490431122</v>
      </c>
      <c r="H241" s="19">
        <f t="shared" ref="H241:I241" si="161">-(H234*G233)-H270</f>
        <v>-41822344.345260054</v>
      </c>
      <c r="I241" s="19">
        <f t="shared" si="161"/>
        <v>-45435244.585544705</v>
      </c>
      <c r="J241" s="19">
        <f t="shared" ref="J241" si="162">-(J234*I233)-J270</f>
        <v>-50173502.823235251</v>
      </c>
      <c r="K241" s="19">
        <f t="shared" ref="K241" si="163">-(K234*J233)-K270</f>
        <v>-55196985.57922782</v>
      </c>
    </row>
    <row r="242" spans="3:11" x14ac:dyDescent="0.25">
      <c r="C242" s="6" t="s">
        <v>109</v>
      </c>
      <c r="D242" s="231">
        <f>D27</f>
        <v>-435610</v>
      </c>
      <c r="E242" s="231">
        <f>E27</f>
        <v>8483341</v>
      </c>
      <c r="F242" s="231">
        <f>F27</f>
        <v>36040096</v>
      </c>
      <c r="G242" s="183">
        <f>G239*F237</f>
        <v>42840526.260000005</v>
      </c>
      <c r="H242" s="183">
        <f t="shared" ref="H242:K242" si="164">H239*G237</f>
        <v>43720738.395188034</v>
      </c>
      <c r="I242" s="183">
        <f t="shared" si="164"/>
        <v>49860748.370045133</v>
      </c>
      <c r="J242" s="183">
        <f t="shared" si="164"/>
        <v>55317613.165592134</v>
      </c>
      <c r="K242" s="183">
        <f t="shared" si="164"/>
        <v>69154501.29454799</v>
      </c>
    </row>
    <row r="243" spans="3:11" x14ac:dyDescent="0.25">
      <c r="C243" s="6" t="s">
        <v>177</v>
      </c>
      <c r="D243" s="183">
        <f>SUM(D241:D242)</f>
        <v>-48386574</v>
      </c>
      <c r="E243" s="183">
        <f t="shared" ref="E243:F243" si="165">SUM(E241:E242)</f>
        <v>-47137579</v>
      </c>
      <c r="F243" s="183">
        <f t="shared" si="165"/>
        <v>-1740781</v>
      </c>
      <c r="G243" s="183">
        <f t="shared" ref="G243" si="166">SUM(G241:G242)</f>
        <v>2612175.7695688829</v>
      </c>
      <c r="H243" s="183">
        <f t="shared" ref="H243" si="167">SUM(H241:H242)</f>
        <v>1898394.0499279797</v>
      </c>
      <c r="I243" s="183">
        <f t="shared" ref="I243" si="168">SUM(I241:I242)</f>
        <v>4425503.7845004275</v>
      </c>
      <c r="J243" s="183">
        <f t="shared" ref="J243" si="169">SUM(J241:J242)</f>
        <v>5144110.342356883</v>
      </c>
      <c r="K243" s="183">
        <f t="shared" ref="K243" si="170">SUM(K241:K242)</f>
        <v>13957515.71532017</v>
      </c>
    </row>
    <row r="245" spans="3:11" x14ac:dyDescent="0.25">
      <c r="C245" s="13" t="s">
        <v>178</v>
      </c>
    </row>
    <row r="246" spans="3:11" x14ac:dyDescent="0.25">
      <c r="C246" s="47" t="s">
        <v>107</v>
      </c>
      <c r="D246" s="48">
        <f t="shared" ref="D246:K246" si="171">D$13</f>
        <v>2023</v>
      </c>
      <c r="E246" s="48">
        <f t="shared" si="171"/>
        <v>2024</v>
      </c>
      <c r="F246" s="48">
        <f t="shared" si="171"/>
        <v>2025</v>
      </c>
      <c r="G246" s="49">
        <f t="shared" si="171"/>
        <v>2026</v>
      </c>
      <c r="H246" s="49">
        <f t="shared" si="171"/>
        <v>2027</v>
      </c>
      <c r="I246" s="49">
        <f t="shared" si="171"/>
        <v>2028</v>
      </c>
      <c r="J246" s="49">
        <f t="shared" si="171"/>
        <v>2029</v>
      </c>
      <c r="K246" s="49">
        <f t="shared" si="171"/>
        <v>2030</v>
      </c>
    </row>
    <row r="247" spans="3:11" x14ac:dyDescent="0.25">
      <c r="C247" s="42" t="s">
        <v>108</v>
      </c>
      <c r="D247" s="238">
        <f t="shared" ref="D247:K247" si="172">D$14</f>
        <v>45291</v>
      </c>
      <c r="E247" s="224">
        <f t="shared" si="172"/>
        <v>45657</v>
      </c>
      <c r="F247" s="224">
        <f t="shared" si="172"/>
        <v>46022</v>
      </c>
      <c r="G247" s="224">
        <f t="shared" si="172"/>
        <v>46387</v>
      </c>
      <c r="H247" s="224">
        <f t="shared" si="172"/>
        <v>46752</v>
      </c>
      <c r="I247" s="224">
        <f t="shared" si="172"/>
        <v>47118</v>
      </c>
      <c r="J247" s="224">
        <f t="shared" si="172"/>
        <v>47483</v>
      </c>
      <c r="K247" s="224">
        <f t="shared" si="172"/>
        <v>47848</v>
      </c>
    </row>
    <row r="249" spans="3:11" x14ac:dyDescent="0.25">
      <c r="C249" s="13" t="s">
        <v>179</v>
      </c>
    </row>
    <row r="250" spans="3:11" x14ac:dyDescent="0.25">
      <c r="C250" s="17" t="s">
        <v>147</v>
      </c>
      <c r="D250" s="19"/>
      <c r="E250" s="183">
        <f>D253</f>
        <v>-83822569</v>
      </c>
      <c r="F250" s="183">
        <f t="shared" ref="F250:K250" si="173">E253</f>
        <v>-53757977</v>
      </c>
      <c r="G250" s="183">
        <f t="shared" si="173"/>
        <v>151119171</v>
      </c>
      <c r="H250" s="183">
        <f t="shared" si="173"/>
        <v>303078648.68594241</v>
      </c>
      <c r="I250" s="183">
        <f t="shared" si="173"/>
        <v>463664114.48953038</v>
      </c>
      <c r="J250" s="183">
        <f t="shared" si="173"/>
        <v>637737493.03175485</v>
      </c>
      <c r="K250" s="183">
        <f t="shared" si="173"/>
        <v>823685600.51448762</v>
      </c>
    </row>
    <row r="251" spans="3:11" x14ac:dyDescent="0.25">
      <c r="C251" s="17" t="s">
        <v>226</v>
      </c>
      <c r="D251" s="255">
        <f>D32</f>
        <v>31745161</v>
      </c>
      <c r="E251" s="255">
        <f>E32</f>
        <v>135031718</v>
      </c>
      <c r="F251" s="255">
        <f>F32</f>
        <v>211202869</v>
      </c>
      <c r="G251" s="255">
        <f>G32</f>
        <v>289241342.53594244</v>
      </c>
      <c r="H251" s="255">
        <f>H32</f>
        <v>348592338.45195049</v>
      </c>
      <c r="I251" s="255">
        <f>I32</f>
        <v>400658398.53599232</v>
      </c>
      <c r="J251" s="255">
        <f>J32</f>
        <v>446376066.53112787</v>
      </c>
      <c r="K251" s="255">
        <f>K32</f>
        <v>494736104.12427253</v>
      </c>
    </row>
    <row r="252" spans="3:11" x14ac:dyDescent="0.25">
      <c r="C252" s="17" t="s">
        <v>180</v>
      </c>
      <c r="D252" s="231">
        <v>0</v>
      </c>
      <c r="E252" s="185">
        <v>0</v>
      </c>
      <c r="F252" s="231">
        <v>46965010</v>
      </c>
      <c r="G252" s="183">
        <f>G261*F251</f>
        <v>137281864.84999999</v>
      </c>
      <c r="H252" s="183">
        <f t="shared" ref="H252:K252" si="174">H261*G251</f>
        <v>188006872.64836258</v>
      </c>
      <c r="I252" s="183">
        <f t="shared" si="174"/>
        <v>226585019.99376783</v>
      </c>
      <c r="J252" s="183">
        <f t="shared" si="174"/>
        <v>260427959.04839501</v>
      </c>
      <c r="K252" s="183">
        <f t="shared" si="174"/>
        <v>290144443.24523312</v>
      </c>
    </row>
    <row r="253" spans="3:11" x14ac:dyDescent="0.25">
      <c r="C253" s="17" t="s">
        <v>181</v>
      </c>
      <c r="D253" s="19">
        <f>D114</f>
        <v>-83822569</v>
      </c>
      <c r="E253" s="19">
        <f>E114</f>
        <v>-53757977</v>
      </c>
      <c r="F253" s="19">
        <f>F114</f>
        <v>151119171</v>
      </c>
      <c r="G253" s="19">
        <f>G250+G251-G252</f>
        <v>303078648.68594241</v>
      </c>
      <c r="H253" s="19">
        <f t="shared" ref="H253:K253" si="175">H250+H251-H252</f>
        <v>463664114.48953038</v>
      </c>
      <c r="I253" s="19">
        <f t="shared" si="175"/>
        <v>637737493.03175485</v>
      </c>
      <c r="J253" s="19">
        <f t="shared" si="175"/>
        <v>823685600.51448762</v>
      </c>
      <c r="K253" s="19">
        <f t="shared" si="175"/>
        <v>1028277261.393527</v>
      </c>
    </row>
    <row r="254" spans="3:11" x14ac:dyDescent="0.25">
      <c r="C254" s="17"/>
      <c r="D254" s="19"/>
      <c r="E254" s="19"/>
      <c r="F254" s="19"/>
      <c r="G254" s="19"/>
      <c r="H254" s="19"/>
      <c r="I254" s="19"/>
      <c r="J254" s="19"/>
      <c r="K254" s="19"/>
    </row>
    <row r="255" spans="3:11" x14ac:dyDescent="0.25">
      <c r="C255" s="13" t="s">
        <v>228</v>
      </c>
      <c r="D255" s="183"/>
      <c r="E255" s="183"/>
      <c r="F255" s="183"/>
      <c r="G255" s="183"/>
      <c r="H255" s="183"/>
      <c r="I255" s="183"/>
      <c r="J255" s="183"/>
      <c r="K255" s="183"/>
    </row>
    <row r="256" spans="3:11" x14ac:dyDescent="0.25">
      <c r="C256" s="17" t="s">
        <v>147</v>
      </c>
      <c r="D256" s="183"/>
      <c r="E256" s="183">
        <f>D259</f>
        <v>-436852</v>
      </c>
      <c r="F256" s="183">
        <f t="shared" ref="F256:K256" si="176">E259</f>
        <v>-426786</v>
      </c>
      <c r="G256" s="183">
        <f t="shared" si="176"/>
        <v>-417023</v>
      </c>
      <c r="H256" s="183">
        <f t="shared" si="176"/>
        <v>-403652.61710440397</v>
      </c>
      <c r="I256" s="183">
        <f t="shared" si="176"/>
        <v>-387538.69300659071</v>
      </c>
      <c r="J256" s="183">
        <f t="shared" si="176"/>
        <v>-369017.97894892847</v>
      </c>
      <c r="K256" s="183">
        <f t="shared" si="176"/>
        <v>-348383.93378572853</v>
      </c>
    </row>
    <row r="257" spans="3:11" x14ac:dyDescent="0.25">
      <c r="C257" s="17" t="s">
        <v>229</v>
      </c>
      <c r="D257" s="183">
        <f>D33</f>
        <v>447</v>
      </c>
      <c r="E257" s="183">
        <f>E33</f>
        <v>10066</v>
      </c>
      <c r="F257" s="183">
        <f>F33</f>
        <v>9763</v>
      </c>
      <c r="G257" s="183">
        <f>G262*G31</f>
        <v>13370.382895596016</v>
      </c>
      <c r="H257" s="183">
        <f>H262*H31</f>
        <v>16113.92409781324</v>
      </c>
      <c r="I257" s="183">
        <f>I262*I31</f>
        <v>18520.714057662226</v>
      </c>
      <c r="J257" s="183">
        <f>J262*J31</f>
        <v>20634.045163199946</v>
      </c>
      <c r="K257" s="183">
        <f>K262*K31</f>
        <v>22869.521647290087</v>
      </c>
    </row>
    <row r="258" spans="3:11" x14ac:dyDescent="0.25">
      <c r="C258" s="17" t="s">
        <v>230</v>
      </c>
      <c r="D258" s="185">
        <v>0</v>
      </c>
      <c r="E258" s="185">
        <v>0</v>
      </c>
      <c r="F258" s="185">
        <v>0</v>
      </c>
      <c r="G258" s="183"/>
      <c r="H258" s="183"/>
      <c r="I258" s="183"/>
      <c r="J258" s="183"/>
      <c r="K258" s="183"/>
    </row>
    <row r="259" spans="3:11" x14ac:dyDescent="0.25">
      <c r="C259" s="17" t="s">
        <v>181</v>
      </c>
      <c r="D259" s="183">
        <f>D117</f>
        <v>-436852</v>
      </c>
      <c r="E259" s="183">
        <f>E117</f>
        <v>-426786</v>
      </c>
      <c r="F259" s="183">
        <f>F117</f>
        <v>-417023</v>
      </c>
      <c r="G259" s="183">
        <f>G256+G257-G258</f>
        <v>-403652.61710440397</v>
      </c>
      <c r="H259" s="183">
        <f t="shared" ref="H259:K259" si="177">H256+H257-H258</f>
        <v>-387538.69300659071</v>
      </c>
      <c r="I259" s="183">
        <f t="shared" si="177"/>
        <v>-369017.97894892847</v>
      </c>
      <c r="J259" s="183">
        <f t="shared" si="177"/>
        <v>-348383.93378572853</v>
      </c>
      <c r="K259" s="183">
        <f t="shared" si="177"/>
        <v>-325514.41213843843</v>
      </c>
    </row>
    <row r="260" spans="3:11" x14ac:dyDescent="0.25">
      <c r="D260" s="183"/>
      <c r="E260" s="183"/>
      <c r="F260" s="183"/>
      <c r="G260" s="183"/>
      <c r="H260" s="183"/>
      <c r="I260" s="183"/>
      <c r="J260" s="183"/>
      <c r="K260" s="183"/>
    </row>
    <row r="261" spans="3:11" x14ac:dyDescent="0.25">
      <c r="C261" s="6" t="s">
        <v>227</v>
      </c>
      <c r="D261" s="1"/>
      <c r="E261" s="1"/>
      <c r="F261" s="1">
        <f>-F252/F251</f>
        <v>-0.22236918571404443</v>
      </c>
      <c r="G261" s="209">
        <v>0.65</v>
      </c>
      <c r="H261" s="209">
        <f>G261</f>
        <v>0.65</v>
      </c>
      <c r="I261" s="209">
        <f t="shared" ref="I261:K261" si="178">H261</f>
        <v>0.65</v>
      </c>
      <c r="J261" s="209">
        <f t="shared" si="178"/>
        <v>0.65</v>
      </c>
      <c r="K261" s="209">
        <f t="shared" si="178"/>
        <v>0.65</v>
      </c>
    </row>
    <row r="262" spans="3:11" x14ac:dyDescent="0.25">
      <c r="C262" s="6" t="s">
        <v>231</v>
      </c>
      <c r="D262" s="22">
        <f>D257/D31</f>
        <v>1.4080687949022743E-5</v>
      </c>
      <c r="E262" s="22">
        <f>E257/E31</f>
        <v>7.4539892038156136E-5</v>
      </c>
      <c r="F262" s="22">
        <f>F257/F31</f>
        <v>4.6223561098372186E-5</v>
      </c>
      <c r="G262" s="209">
        <f>F262</f>
        <v>4.6223561098372186E-5</v>
      </c>
      <c r="H262" s="209">
        <f>G262</f>
        <v>4.6223561098372186E-5</v>
      </c>
      <c r="I262" s="209">
        <f t="shared" ref="I262:K262" si="179">H262</f>
        <v>4.6223561098372186E-5</v>
      </c>
      <c r="J262" s="209">
        <f t="shared" si="179"/>
        <v>4.6223561098372186E-5</v>
      </c>
      <c r="K262" s="209">
        <f t="shared" si="179"/>
        <v>4.6223561098372186E-5</v>
      </c>
    </row>
    <row r="263" spans="3:11" x14ac:dyDescent="0.25">
      <c r="D263" s="19"/>
      <c r="E263" s="19"/>
      <c r="F263" s="19"/>
      <c r="G263" s="183"/>
      <c r="H263" s="183"/>
      <c r="I263" s="183"/>
      <c r="J263" s="183"/>
      <c r="K263" s="183"/>
    </row>
    <row r="264" spans="3:11" x14ac:dyDescent="0.25">
      <c r="C264" s="13" t="s">
        <v>183</v>
      </c>
    </row>
    <row r="265" spans="3:11" x14ac:dyDescent="0.25">
      <c r="C265" s="47" t="s">
        <v>107</v>
      </c>
      <c r="D265" s="48">
        <f t="shared" ref="D265:K265" si="180">D$13</f>
        <v>2023</v>
      </c>
      <c r="E265" s="48">
        <f t="shared" si="180"/>
        <v>2024</v>
      </c>
      <c r="F265" s="48">
        <f t="shared" si="180"/>
        <v>2025</v>
      </c>
      <c r="G265" s="49">
        <f t="shared" si="180"/>
        <v>2026</v>
      </c>
      <c r="H265" s="49">
        <f t="shared" si="180"/>
        <v>2027</v>
      </c>
      <c r="I265" s="49">
        <f t="shared" si="180"/>
        <v>2028</v>
      </c>
      <c r="J265" s="49">
        <f t="shared" si="180"/>
        <v>2029</v>
      </c>
      <c r="K265" s="49">
        <f t="shared" si="180"/>
        <v>2030</v>
      </c>
    </row>
    <row r="266" spans="3:11" x14ac:dyDescent="0.25">
      <c r="C266" s="42" t="s">
        <v>108</v>
      </c>
      <c r="D266" s="238">
        <f t="shared" ref="D266:K266" si="181">D$14</f>
        <v>45291</v>
      </c>
      <c r="E266" s="224">
        <f t="shared" si="181"/>
        <v>45657</v>
      </c>
      <c r="F266" s="224">
        <f t="shared" si="181"/>
        <v>46022</v>
      </c>
      <c r="G266" s="224">
        <f t="shared" si="181"/>
        <v>46387</v>
      </c>
      <c r="H266" s="224">
        <f t="shared" si="181"/>
        <v>46752</v>
      </c>
      <c r="I266" s="224">
        <f t="shared" si="181"/>
        <v>47118</v>
      </c>
      <c r="J266" s="224">
        <f t="shared" si="181"/>
        <v>47483</v>
      </c>
      <c r="K266" s="224">
        <f t="shared" si="181"/>
        <v>47848</v>
      </c>
    </row>
    <row r="267" spans="3:11" x14ac:dyDescent="0.25">
      <c r="D267" s="19"/>
      <c r="E267" s="19"/>
      <c r="F267" s="19"/>
      <c r="G267" s="183"/>
      <c r="H267" s="183"/>
      <c r="I267" s="183"/>
      <c r="J267" s="183"/>
      <c r="K267" s="183"/>
    </row>
    <row r="268" spans="3:11" x14ac:dyDescent="0.25">
      <c r="C268" s="6" t="s">
        <v>184</v>
      </c>
      <c r="E268" s="183">
        <f>D273</f>
        <v>177494367</v>
      </c>
      <c r="F268" s="183">
        <f t="shared" ref="F268:K268" si="182">E273</f>
        <v>172896546</v>
      </c>
      <c r="G268" s="183">
        <f t="shared" si="182"/>
        <v>182965452</v>
      </c>
      <c r="H268" s="183">
        <f t="shared" si="182"/>
        <v>195235241.11388403</v>
      </c>
      <c r="I268" s="183">
        <f t="shared" si="182"/>
        <v>209717874.0450047</v>
      </c>
      <c r="J268" s="183">
        <f t="shared" si="182"/>
        <v>226376453.4568519</v>
      </c>
      <c r="K268" s="183">
        <f t="shared" si="182"/>
        <v>245036852.63834924</v>
      </c>
    </row>
    <row r="269" spans="3:11" x14ac:dyDescent="0.25">
      <c r="C269" s="17" t="s">
        <v>185</v>
      </c>
      <c r="D269" s="231">
        <v>0</v>
      </c>
      <c r="E269" s="231">
        <v>25260273</v>
      </c>
      <c r="F269" s="231">
        <v>43724574</v>
      </c>
      <c r="G269" s="183">
        <f>G276*G$16</f>
        <v>53366787.879486434</v>
      </c>
      <c r="H269" s="183">
        <f>H276*H$16</f>
        <v>62991433.055439129</v>
      </c>
      <c r="I269" s="183">
        <f>I276*I$16</f>
        <v>72455595.250586137</v>
      </c>
      <c r="J269" s="183">
        <f>J276*J$16</f>
        <v>81162402.680470377</v>
      </c>
      <c r="K269" s="183">
        <f>K276*K$16</f>
        <v>89288563.051148236</v>
      </c>
    </row>
    <row r="270" spans="3:11" x14ac:dyDescent="0.25">
      <c r="C270" s="17" t="s">
        <v>186</v>
      </c>
      <c r="D270" s="185">
        <v>20056966</v>
      </c>
      <c r="E270" s="185">
        <v>20310952</v>
      </c>
      <c r="F270" s="185">
        <v>27029942</v>
      </c>
      <c r="G270" s="183">
        <f>G277*G$16</f>
        <v>32990628.590431124</v>
      </c>
      <c r="H270" s="183">
        <f>H277*H$16</f>
        <v>38940454.445260055</v>
      </c>
      <c r="I270" s="183">
        <f>I277*I$16</f>
        <v>44791071.885544702</v>
      </c>
      <c r="J270" s="183">
        <f>J277*J$16</f>
        <v>50173502.823235251</v>
      </c>
      <c r="K270" s="183">
        <f>K277*K$16</f>
        <v>55196985.57922782</v>
      </c>
    </row>
    <row r="271" spans="3:11" x14ac:dyDescent="0.25">
      <c r="C271" s="17" t="s">
        <v>400</v>
      </c>
      <c r="D271" s="185">
        <v>0</v>
      </c>
      <c r="E271" s="185">
        <v>-1302168</v>
      </c>
      <c r="F271" s="185">
        <v>-2400812</v>
      </c>
      <c r="G271" s="183">
        <f>G16*G278</f>
        <v>-2930242.9508524332</v>
      </c>
      <c r="H271" s="183">
        <f>H16*H278</f>
        <v>-3458709.246125415</v>
      </c>
      <c r="I271" s="183">
        <f>I16*I278</f>
        <v>-3978363.8039503871</v>
      </c>
      <c r="J271" s="183">
        <f>J16*J278</f>
        <v>-4456433.819208975</v>
      </c>
      <c r="K271" s="183">
        <f>K16*K278</f>
        <v>-4902621.8902888177</v>
      </c>
    </row>
    <row r="272" spans="3:11" x14ac:dyDescent="0.25">
      <c r="C272" s="17" t="s">
        <v>353</v>
      </c>
      <c r="D272" s="231">
        <v>-44084683</v>
      </c>
      <c r="E272" s="185">
        <v>-48866878</v>
      </c>
      <c r="F272" s="185">
        <v>-58300798</v>
      </c>
      <c r="G272" s="183">
        <f t="shared" ref="G272:K272" si="183">G279*G$16</f>
        <v>-71157384.405181095</v>
      </c>
      <c r="H272" s="183">
        <f t="shared" si="183"/>
        <v>-83990545.323453099</v>
      </c>
      <c r="I272" s="183">
        <f t="shared" si="183"/>
        <v>-96609723.920333251</v>
      </c>
      <c r="J272" s="183">
        <f t="shared" si="183"/>
        <v>-108219072.50299938</v>
      </c>
      <c r="K272" s="183">
        <f t="shared" si="183"/>
        <v>-119054206.86672114</v>
      </c>
    </row>
    <row r="273" spans="3:11" x14ac:dyDescent="0.25">
      <c r="C273" s="6" t="s">
        <v>187</v>
      </c>
      <c r="D273" s="19">
        <f>D94+D104</f>
        <v>177494367</v>
      </c>
      <c r="E273" s="19">
        <f>E94+E104</f>
        <v>172896546</v>
      </c>
      <c r="F273" s="19">
        <f>F94+F104</f>
        <v>182965452</v>
      </c>
      <c r="G273" s="183">
        <f>SUM(G268:G272)</f>
        <v>195235241.11388403</v>
      </c>
      <c r="H273" s="183">
        <f t="shared" ref="H273:K273" si="184">SUM(H268:H272)</f>
        <v>209717874.0450047</v>
      </c>
      <c r="I273" s="183">
        <f t="shared" si="184"/>
        <v>226376453.4568519</v>
      </c>
      <c r="J273" s="183">
        <f t="shared" si="184"/>
        <v>245036852.63834924</v>
      </c>
      <c r="K273" s="183">
        <f t="shared" si="184"/>
        <v>265565572.51171529</v>
      </c>
    </row>
    <row r="274" spans="3:11" x14ac:dyDescent="0.25">
      <c r="C274" s="6" t="s">
        <v>188</v>
      </c>
      <c r="D274" s="244">
        <f>D94/(D94+D104)</f>
        <v>0.16237052751088152</v>
      </c>
      <c r="E274" s="244">
        <f>E94/(E94+E104)</f>
        <v>0.18493577656548443</v>
      </c>
      <c r="F274" s="244">
        <f>F94/(F94+F104)</f>
        <v>0.17317804893570837</v>
      </c>
      <c r="G274" s="334">
        <f>F274</f>
        <v>0.17317804893570837</v>
      </c>
      <c r="H274" s="334">
        <f t="shared" ref="H274:K274" si="185">G274</f>
        <v>0.17317804893570837</v>
      </c>
      <c r="I274" s="334">
        <f t="shared" si="185"/>
        <v>0.17317804893570837</v>
      </c>
      <c r="J274" s="334">
        <f t="shared" si="185"/>
        <v>0.17317804893570837</v>
      </c>
      <c r="K274" s="334">
        <f t="shared" si="185"/>
        <v>0.17317804893570837</v>
      </c>
    </row>
    <row r="275" spans="3:11" x14ac:dyDescent="0.25">
      <c r="D275" s="244"/>
      <c r="E275" s="205"/>
      <c r="F275" s="205"/>
      <c r="G275" s="205"/>
      <c r="H275" s="205"/>
      <c r="I275" s="205"/>
      <c r="J275" s="205"/>
      <c r="K275" s="205"/>
    </row>
    <row r="276" spans="3:11" x14ac:dyDescent="0.25">
      <c r="C276" s="6" t="s">
        <v>189</v>
      </c>
      <c r="D276" s="22">
        <f>D269/D$16</f>
        <v>0</v>
      </c>
      <c r="E276" s="22">
        <f>E269/E$16</f>
        <v>1.1927602175125E-2</v>
      </c>
      <c r="F276" s="22">
        <f>F269/F$16</f>
        <v>1.5194510535745685E-2</v>
      </c>
      <c r="G276" s="209">
        <f>F276</f>
        <v>1.5194510535745685E-2</v>
      </c>
      <c r="H276" s="209">
        <f>G276</f>
        <v>1.5194510535745685E-2</v>
      </c>
      <c r="I276" s="209">
        <f t="shared" ref="I276:K276" si="186">H276</f>
        <v>1.5194510535745685E-2</v>
      </c>
      <c r="J276" s="209">
        <f t="shared" si="186"/>
        <v>1.5194510535745685E-2</v>
      </c>
      <c r="K276" s="209">
        <f t="shared" si="186"/>
        <v>1.5194510535745685E-2</v>
      </c>
    </row>
    <row r="277" spans="3:11" x14ac:dyDescent="0.25">
      <c r="C277" s="6" t="s">
        <v>190</v>
      </c>
      <c r="D277" s="22">
        <f>D270/D$16</f>
        <v>1.3728216801306306E-2</v>
      </c>
      <c r="E277" s="22">
        <f>E270/E$16</f>
        <v>9.5905913310619997E-3</v>
      </c>
      <c r="F277" s="22">
        <f>F270/F$16</f>
        <v>9.3930415079537376E-3</v>
      </c>
      <c r="G277" s="209">
        <f>F277</f>
        <v>9.3930415079537376E-3</v>
      </c>
      <c r="H277" s="209">
        <f t="shared" ref="H277:K279" si="187">G277</f>
        <v>9.3930415079537376E-3</v>
      </c>
      <c r="I277" s="209">
        <f t="shared" si="187"/>
        <v>9.3930415079537376E-3</v>
      </c>
      <c r="J277" s="209">
        <f t="shared" si="187"/>
        <v>9.3930415079537376E-3</v>
      </c>
      <c r="K277" s="209">
        <f t="shared" si="187"/>
        <v>9.3930415079537376E-3</v>
      </c>
    </row>
    <row r="278" spans="3:11" x14ac:dyDescent="0.25">
      <c r="C278" s="6" t="s">
        <v>401</v>
      </c>
      <c r="D278" s="22">
        <f>D271/D$16</f>
        <v>0</v>
      </c>
      <c r="E278" s="22">
        <f>E271/E$16</f>
        <v>-6.1486832977530263E-4</v>
      </c>
      <c r="F278" s="22">
        <f>F271/F$16</f>
        <v>-8.3429430846701145E-4</v>
      </c>
      <c r="G278" s="209">
        <f>F278</f>
        <v>-8.3429430846701145E-4</v>
      </c>
      <c r="H278" s="209">
        <f t="shared" ref="H278" si="188">G278</f>
        <v>-8.3429430846701145E-4</v>
      </c>
      <c r="I278" s="209">
        <f t="shared" ref="I278" si="189">H278</f>
        <v>-8.3429430846701145E-4</v>
      </c>
      <c r="J278" s="209">
        <f t="shared" ref="J278" si="190">I278</f>
        <v>-8.3429430846701145E-4</v>
      </c>
      <c r="K278" s="209">
        <f t="shared" ref="K278" si="191">J278</f>
        <v>-8.3429430846701145E-4</v>
      </c>
    </row>
    <row r="279" spans="3:11" x14ac:dyDescent="0.25">
      <c r="C279" s="6" t="s">
        <v>353</v>
      </c>
      <c r="D279" s="22">
        <f t="shared" ref="D279:F279" si="192">D272/D$16</f>
        <v>-3.0174258950275056E-2</v>
      </c>
      <c r="E279" s="22">
        <f t="shared" si="192"/>
        <v>-2.3074361877417876E-2</v>
      </c>
      <c r="F279" s="22">
        <f t="shared" si="192"/>
        <v>-2.025982207290072E-2</v>
      </c>
      <c r="G279" s="209">
        <f>F279</f>
        <v>-2.025982207290072E-2</v>
      </c>
      <c r="H279" s="209">
        <f t="shared" si="187"/>
        <v>-2.025982207290072E-2</v>
      </c>
      <c r="I279" s="209">
        <f t="shared" si="187"/>
        <v>-2.025982207290072E-2</v>
      </c>
      <c r="J279" s="209">
        <f t="shared" si="187"/>
        <v>-2.025982207290072E-2</v>
      </c>
      <c r="K279" s="209">
        <f t="shared" si="187"/>
        <v>-2.025982207290072E-2</v>
      </c>
    </row>
    <row r="281" spans="3:11" x14ac:dyDescent="0.25">
      <c r="C281" s="13" t="s">
        <v>347</v>
      </c>
    </row>
    <row r="282" spans="3:11" x14ac:dyDescent="0.25">
      <c r="C282" s="47" t="s">
        <v>107</v>
      </c>
      <c r="D282" s="48">
        <f t="shared" ref="D282:K282" si="193">D$13</f>
        <v>2023</v>
      </c>
      <c r="E282" s="48">
        <f t="shared" si="193"/>
        <v>2024</v>
      </c>
      <c r="F282" s="48">
        <f t="shared" si="193"/>
        <v>2025</v>
      </c>
      <c r="G282" s="49">
        <f t="shared" si="193"/>
        <v>2026</v>
      </c>
      <c r="H282" s="49">
        <f t="shared" si="193"/>
        <v>2027</v>
      </c>
      <c r="I282" s="49">
        <f t="shared" si="193"/>
        <v>2028</v>
      </c>
      <c r="J282" s="49">
        <f t="shared" si="193"/>
        <v>2029</v>
      </c>
      <c r="K282" s="49">
        <f t="shared" si="193"/>
        <v>2030</v>
      </c>
    </row>
    <row r="283" spans="3:11" x14ac:dyDescent="0.25">
      <c r="C283" s="42" t="s">
        <v>108</v>
      </c>
      <c r="D283" s="335">
        <f t="shared" ref="D283:K283" si="194">D$14</f>
        <v>45291</v>
      </c>
      <c r="E283" s="224">
        <f t="shared" si="194"/>
        <v>45657</v>
      </c>
      <c r="F283" s="224">
        <f t="shared" si="194"/>
        <v>46022</v>
      </c>
      <c r="G283" s="224">
        <f t="shared" si="194"/>
        <v>46387</v>
      </c>
      <c r="H283" s="224">
        <f t="shared" si="194"/>
        <v>46752</v>
      </c>
      <c r="I283" s="224">
        <f t="shared" si="194"/>
        <v>47118</v>
      </c>
      <c r="J283" s="224">
        <f t="shared" si="194"/>
        <v>47483</v>
      </c>
      <c r="K283" s="224">
        <f t="shared" si="194"/>
        <v>47848</v>
      </c>
    </row>
    <row r="284" spans="3:11" x14ac:dyDescent="0.25">
      <c r="C284" s="336"/>
      <c r="D284" s="337"/>
      <c r="E284" s="338"/>
      <c r="F284" s="338"/>
      <c r="G284" s="338"/>
      <c r="H284" s="338"/>
      <c r="I284" s="338"/>
      <c r="J284" s="338"/>
      <c r="K284" s="338"/>
    </row>
    <row r="285" spans="3:11" x14ac:dyDescent="0.25">
      <c r="C285" s="6" t="s">
        <v>352</v>
      </c>
      <c r="D285" s="19"/>
      <c r="E285" s="183">
        <f>D289</f>
        <v>142503563</v>
      </c>
      <c r="F285" s="183">
        <f t="shared" ref="F285:K285" si="195">E289</f>
        <v>130756082</v>
      </c>
      <c r="G285" s="183">
        <f t="shared" si="195"/>
        <v>136387942</v>
      </c>
      <c r="H285" s="183">
        <f t="shared" si="195"/>
        <v>138371018.67622459</v>
      </c>
      <c r="I285" s="183">
        <f t="shared" si="195"/>
        <v>140711741.1865674</v>
      </c>
      <c r="J285" s="183">
        <f t="shared" si="195"/>
        <v>143404146.08318356</v>
      </c>
      <c r="K285" s="183">
        <f t="shared" si="195"/>
        <v>146420090.53360564</v>
      </c>
    </row>
    <row r="286" spans="3:11" x14ac:dyDescent="0.25">
      <c r="C286" s="17" t="s">
        <v>348</v>
      </c>
      <c r="D286" s="185">
        <v>0</v>
      </c>
      <c r="E286" s="185">
        <v>25260273</v>
      </c>
      <c r="F286" s="185">
        <v>43724574</v>
      </c>
      <c r="G286" s="183">
        <f>G291*G16</f>
        <v>53366787.879486434</v>
      </c>
      <c r="H286" s="183">
        <f>H291*H16</f>
        <v>62991433.055439129</v>
      </c>
      <c r="I286" s="183">
        <f>I291*I16</f>
        <v>72455595.250586137</v>
      </c>
      <c r="J286" s="183">
        <f>J291*J16</f>
        <v>81162402.680470377</v>
      </c>
      <c r="K286" s="183">
        <f>K291*K16</f>
        <v>89288563.051148236</v>
      </c>
    </row>
    <row r="287" spans="3:11" x14ac:dyDescent="0.25">
      <c r="C287" s="17" t="s">
        <v>400</v>
      </c>
      <c r="D287" s="185">
        <v>0</v>
      </c>
      <c r="E287" s="185">
        <v>-8577112</v>
      </c>
      <c r="F287" s="185">
        <v>-5764896</v>
      </c>
      <c r="G287" s="183">
        <f>G292*G16</f>
        <v>-7036180.20336344</v>
      </c>
      <c r="H287" s="183">
        <f>H292*H16</f>
        <v>-8305148.0491397986</v>
      </c>
      <c r="I287" s="183">
        <f>I292*I16</f>
        <v>-9552956.9078871533</v>
      </c>
      <c r="J287" s="183">
        <f>J292*J16</f>
        <v>-10700911.815928336</v>
      </c>
      <c r="K287" s="183">
        <f>K292*K16</f>
        <v>-11772310.920154698</v>
      </c>
    </row>
    <row r="288" spans="3:11" x14ac:dyDescent="0.25">
      <c r="C288" s="17" t="s">
        <v>349</v>
      </c>
      <c r="D288" s="231">
        <v>-33206271</v>
      </c>
      <c r="E288" s="185">
        <v>-36035425</v>
      </c>
      <c r="F288" s="185">
        <v>-36334900</v>
      </c>
      <c r="G288" s="183">
        <f>G293*G16</f>
        <v>-44347530.999898404</v>
      </c>
      <c r="H288" s="183">
        <f>H293*H16</f>
        <v>-52345562.49595651</v>
      </c>
      <c r="I288" s="183">
        <f>I293*I16</f>
        <v>-60210233.446082793</v>
      </c>
      <c r="J288" s="183">
        <f>J293*J16</f>
        <v>-67445546.414119959</v>
      </c>
      <c r="K288" s="183">
        <f>K293*K16</f>
        <v>-74198344.610679701</v>
      </c>
    </row>
    <row r="289" spans="3:11" x14ac:dyDescent="0.25">
      <c r="C289" s="6" t="s">
        <v>351</v>
      </c>
      <c r="D289" s="19">
        <f>D80</f>
        <v>142503563</v>
      </c>
      <c r="E289" s="19">
        <f>E80</f>
        <v>130756082</v>
      </c>
      <c r="F289" s="19">
        <f>F80</f>
        <v>136387942</v>
      </c>
      <c r="G289" s="183">
        <f>SUM(G285:G288)</f>
        <v>138371018.67622459</v>
      </c>
      <c r="H289" s="183">
        <f>SUM(H285:H288)</f>
        <v>140711741.1865674</v>
      </c>
      <c r="I289" s="183">
        <f>SUM(I285:I288)</f>
        <v>143404146.08318356</v>
      </c>
      <c r="J289" s="183">
        <f>SUM(J285:J288)</f>
        <v>146420090.53360564</v>
      </c>
      <c r="K289" s="183">
        <f>SUM(K285:K288)</f>
        <v>149737998.05391949</v>
      </c>
    </row>
    <row r="290" spans="3:11" x14ac:dyDescent="0.25">
      <c r="D290" s="19"/>
      <c r="E290" s="19"/>
      <c r="F290" s="19"/>
      <c r="G290" s="183"/>
      <c r="H290" s="183"/>
      <c r="I290" s="183"/>
      <c r="J290" s="183"/>
      <c r="K290" s="183"/>
    </row>
    <row r="291" spans="3:11" x14ac:dyDescent="0.25">
      <c r="C291" s="6" t="s">
        <v>182</v>
      </c>
      <c r="D291" s="1">
        <f>D286/D16</f>
        <v>0</v>
      </c>
      <c r="E291" s="1">
        <f>E286/E16</f>
        <v>1.1927602175125E-2</v>
      </c>
      <c r="F291" s="1">
        <f>F286/F16</f>
        <v>1.5194510535745685E-2</v>
      </c>
      <c r="G291" s="209">
        <f>F291</f>
        <v>1.5194510535745685E-2</v>
      </c>
      <c r="H291" s="209">
        <f>G291</f>
        <v>1.5194510535745685E-2</v>
      </c>
      <c r="I291" s="209">
        <f t="shared" ref="I291:K292" si="196">H291</f>
        <v>1.5194510535745685E-2</v>
      </c>
      <c r="J291" s="209">
        <f t="shared" si="196"/>
        <v>1.5194510535745685E-2</v>
      </c>
      <c r="K291" s="209">
        <f t="shared" si="196"/>
        <v>1.5194510535745685E-2</v>
      </c>
    </row>
    <row r="292" spans="3:11" x14ac:dyDescent="0.25">
      <c r="C292" s="6" t="s">
        <v>403</v>
      </c>
      <c r="D292" s="1">
        <f>D287/D16</f>
        <v>0</v>
      </c>
      <c r="E292" s="1">
        <f>E287/E16</f>
        <v>-4.0500108509314509E-3</v>
      </c>
      <c r="F292" s="1">
        <f>F287/F16</f>
        <v>-2.0033305072218234E-3</v>
      </c>
      <c r="G292" s="209">
        <f>F292</f>
        <v>-2.0033305072218234E-3</v>
      </c>
      <c r="H292" s="209">
        <f t="shared" ref="H292:K292" si="197">G292</f>
        <v>-2.0033305072218234E-3</v>
      </c>
      <c r="I292" s="209">
        <f t="shared" si="196"/>
        <v>-2.0033305072218234E-3</v>
      </c>
      <c r="J292" s="209">
        <f t="shared" si="196"/>
        <v>-2.0033305072218234E-3</v>
      </c>
      <c r="K292" s="209">
        <f t="shared" si="196"/>
        <v>-2.0033305072218234E-3</v>
      </c>
    </row>
    <row r="293" spans="3:11" x14ac:dyDescent="0.25">
      <c r="C293" s="6" t="s">
        <v>350</v>
      </c>
      <c r="D293" s="1">
        <f>D288/D16</f>
        <v>-2.2728407050743884E-2</v>
      </c>
      <c r="E293" s="1">
        <f>E288/E16</f>
        <v>-1.7015501519383969E-2</v>
      </c>
      <c r="F293" s="1">
        <f>F288/F16</f>
        <v>-1.2626561458672322E-2</v>
      </c>
      <c r="G293" s="209">
        <f>F293</f>
        <v>-1.2626561458672322E-2</v>
      </c>
      <c r="H293" s="209">
        <f>G293</f>
        <v>-1.2626561458672322E-2</v>
      </c>
      <c r="I293" s="209">
        <f t="shared" ref="I293:K293" si="198">H293</f>
        <v>-1.2626561458672322E-2</v>
      </c>
      <c r="J293" s="209">
        <f t="shared" si="198"/>
        <v>-1.2626561458672322E-2</v>
      </c>
      <c r="K293" s="209">
        <f t="shared" si="198"/>
        <v>-1.2626561458672322E-2</v>
      </c>
    </row>
    <row r="295" spans="3:11" x14ac:dyDescent="0.25">
      <c r="C295" s="13" t="s">
        <v>221</v>
      </c>
    </row>
    <row r="296" spans="3:11" x14ac:dyDescent="0.25">
      <c r="C296" s="47" t="s">
        <v>107</v>
      </c>
      <c r="D296" s="48">
        <f t="shared" ref="D296:K296" si="199">D$13</f>
        <v>2023</v>
      </c>
      <c r="E296" s="48">
        <f t="shared" si="199"/>
        <v>2024</v>
      </c>
      <c r="F296" s="48">
        <f t="shared" si="199"/>
        <v>2025</v>
      </c>
      <c r="G296" s="49">
        <f t="shared" si="199"/>
        <v>2026</v>
      </c>
      <c r="H296" s="49">
        <f t="shared" si="199"/>
        <v>2027</v>
      </c>
      <c r="I296" s="49">
        <f t="shared" si="199"/>
        <v>2028</v>
      </c>
      <c r="J296" s="49">
        <f t="shared" si="199"/>
        <v>2029</v>
      </c>
      <c r="K296" s="49">
        <f t="shared" si="199"/>
        <v>2030</v>
      </c>
    </row>
    <row r="297" spans="3:11" x14ac:dyDescent="0.25">
      <c r="C297" s="42" t="s">
        <v>108</v>
      </c>
      <c r="D297" s="258">
        <f t="shared" ref="D297:K297" si="200">D$14</f>
        <v>45291</v>
      </c>
      <c r="E297" s="224">
        <f t="shared" si="200"/>
        <v>45657</v>
      </c>
      <c r="F297" s="224">
        <f t="shared" si="200"/>
        <v>46022</v>
      </c>
      <c r="G297" s="224">
        <f t="shared" si="200"/>
        <v>46387</v>
      </c>
      <c r="H297" s="224">
        <f t="shared" si="200"/>
        <v>46752</v>
      </c>
      <c r="I297" s="224">
        <f t="shared" si="200"/>
        <v>47118</v>
      </c>
      <c r="J297" s="224">
        <f t="shared" si="200"/>
        <v>47483</v>
      </c>
      <c r="K297" s="224">
        <f t="shared" si="200"/>
        <v>47848</v>
      </c>
    </row>
    <row r="299" spans="3:11" x14ac:dyDescent="0.25">
      <c r="C299" s="6" t="s">
        <v>147</v>
      </c>
      <c r="D299" s="19"/>
      <c r="E299" s="183">
        <f>D302</f>
        <v>27899321</v>
      </c>
      <c r="F299" s="183">
        <f t="shared" ref="F299:K299" si="201">E302</f>
        <v>21004672</v>
      </c>
      <c r="G299" s="183">
        <f t="shared" si="201"/>
        <v>14066392</v>
      </c>
      <c r="H299" s="183">
        <f t="shared" si="201"/>
        <v>9066392</v>
      </c>
      <c r="I299" s="183">
        <f t="shared" si="201"/>
        <v>6066392</v>
      </c>
      <c r="J299" s="183">
        <f t="shared" si="201"/>
        <v>4066392</v>
      </c>
      <c r="K299" s="183">
        <f t="shared" si="201"/>
        <v>3066392</v>
      </c>
    </row>
    <row r="300" spans="3:11" x14ac:dyDescent="0.25">
      <c r="C300" s="17" t="s">
        <v>224</v>
      </c>
      <c r="D300" s="231">
        <v>6376604</v>
      </c>
      <c r="E300" s="185">
        <v>213732</v>
      </c>
      <c r="F300" s="185">
        <v>0</v>
      </c>
      <c r="G300" s="185">
        <v>2000000</v>
      </c>
      <c r="H300" s="185">
        <v>2000000</v>
      </c>
      <c r="I300" s="185">
        <v>2000000</v>
      </c>
      <c r="J300" s="185">
        <v>2000000</v>
      </c>
      <c r="K300" s="185">
        <v>2000000</v>
      </c>
    </row>
    <row r="301" spans="3:11" x14ac:dyDescent="0.25">
      <c r="C301" s="17" t="s">
        <v>225</v>
      </c>
      <c r="D301" s="231">
        <v>-4505081</v>
      </c>
      <c r="E301" s="185">
        <v>-7108381</v>
      </c>
      <c r="F301" s="185">
        <v>-6938280</v>
      </c>
      <c r="G301" s="185">
        <v>-7000000</v>
      </c>
      <c r="H301" s="185">
        <v>-5000000</v>
      </c>
      <c r="I301" s="185">
        <v>-4000000</v>
      </c>
      <c r="J301" s="185">
        <v>-3000000</v>
      </c>
      <c r="K301" s="185">
        <v>-2000000</v>
      </c>
    </row>
    <row r="302" spans="3:11" x14ac:dyDescent="0.25">
      <c r="C302" s="6" t="s">
        <v>150</v>
      </c>
      <c r="D302" s="19">
        <f>D79</f>
        <v>27899321</v>
      </c>
      <c r="E302" s="19">
        <f>E79</f>
        <v>21004672</v>
      </c>
      <c r="F302" s="19">
        <f>F79</f>
        <v>14066392</v>
      </c>
      <c r="G302" s="183">
        <f>SUM(G299:G301)</f>
        <v>9066392</v>
      </c>
      <c r="H302" s="183">
        <f t="shared" ref="H302:K302" si="202">SUM(H299:H301)</f>
        <v>6066392</v>
      </c>
      <c r="I302" s="183">
        <f t="shared" si="202"/>
        <v>4066392</v>
      </c>
      <c r="J302" s="183">
        <f t="shared" si="202"/>
        <v>3066392</v>
      </c>
      <c r="K302" s="183">
        <f t="shared" si="202"/>
        <v>3066392</v>
      </c>
    </row>
    <row r="303" spans="3:11" x14ac:dyDescent="0.25">
      <c r="D303" s="205"/>
      <c r="E303" s="205"/>
      <c r="F303" s="205"/>
      <c r="G303" s="206"/>
      <c r="H303" s="206"/>
      <c r="I303" s="206"/>
      <c r="J303" s="206"/>
      <c r="K303" s="206"/>
    </row>
    <row r="304" spans="3:11" x14ac:dyDescent="0.25">
      <c r="C304" s="6" t="s">
        <v>182</v>
      </c>
      <c r="D304" s="1">
        <f>D300/D$16</f>
        <v>4.3645385931290401E-3</v>
      </c>
      <c r="E304" s="1">
        <f t="shared" ref="E304:F304" si="203">E300/E$16</f>
        <v>1.0092172274202328E-4</v>
      </c>
      <c r="F304" s="1">
        <f t="shared" si="203"/>
        <v>0</v>
      </c>
      <c r="G304" s="209">
        <f>F304</f>
        <v>0</v>
      </c>
      <c r="H304" s="209">
        <f>G304</f>
        <v>0</v>
      </c>
      <c r="I304" s="209">
        <f t="shared" ref="I304:K304" si="204">H304</f>
        <v>0</v>
      </c>
      <c r="J304" s="209">
        <f t="shared" si="204"/>
        <v>0</v>
      </c>
      <c r="K304" s="209">
        <f t="shared" si="204"/>
        <v>0</v>
      </c>
    </row>
    <row r="305" spans="3:11" x14ac:dyDescent="0.25">
      <c r="C305" s="6" t="s">
        <v>191</v>
      </c>
      <c r="D305" s="1">
        <f>D301/D$16</f>
        <v>-3.0835535482009496E-3</v>
      </c>
      <c r="E305" s="1">
        <f t="shared" ref="E305:F305" si="205">E301/E$16</f>
        <v>-3.3564934423795508E-3</v>
      </c>
      <c r="F305" s="1">
        <f t="shared" si="205"/>
        <v>-2.4110873798325301E-3</v>
      </c>
      <c r="G305" s="209">
        <f>F305</f>
        <v>-2.4110873798325301E-3</v>
      </c>
      <c r="H305" s="209">
        <f>G305</f>
        <v>-2.4110873798325301E-3</v>
      </c>
      <c r="I305" s="209">
        <f t="shared" ref="I305:K305" si="206">H305</f>
        <v>-2.4110873798325301E-3</v>
      </c>
      <c r="J305" s="209">
        <f t="shared" si="206"/>
        <v>-2.4110873798325301E-3</v>
      </c>
      <c r="K305" s="209">
        <f t="shared" si="206"/>
        <v>-2.4110873798325301E-3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31"/>
  <sheetViews>
    <sheetView showGridLines="0" topLeftCell="A6" zoomScaleNormal="100" workbookViewId="0">
      <selection activeCell="D17" sqref="D17"/>
    </sheetView>
  </sheetViews>
  <sheetFormatPr defaultColWidth="9.140625" defaultRowHeight="15" x14ac:dyDescent="0.25"/>
  <cols>
    <col min="1" max="1" width="1.42578125" style="50" customWidth="1"/>
    <col min="2" max="2" width="54.42578125" style="50" customWidth="1"/>
    <col min="3" max="3" width="16.7109375" style="50" customWidth="1"/>
    <col min="4" max="4" width="15.5703125" style="50" bestFit="1" customWidth="1"/>
    <col min="5" max="9" width="16.42578125" style="50" customWidth="1"/>
    <col min="10" max="10" width="1.7109375" style="50" customWidth="1"/>
    <col min="11" max="11" width="12.140625" style="50" bestFit="1" customWidth="1"/>
    <col min="12" max="16" width="9.42578125" style="50" customWidth="1"/>
    <col min="17" max="17" width="9.140625" style="50" customWidth="1"/>
    <col min="18" max="16384" width="9.140625" style="50"/>
  </cols>
  <sheetData>
    <row r="1" spans="2:10" ht="15.75" customHeight="1" thickBot="1" x14ac:dyDescent="0.3"/>
    <row r="2" spans="2:10" ht="15.75" customHeight="1" thickBot="1" x14ac:dyDescent="0.3">
      <c r="B2" s="51" t="s">
        <v>0</v>
      </c>
      <c r="C2" s="52"/>
      <c r="D2" s="52"/>
      <c r="E2" s="52"/>
      <c r="F2" s="52"/>
      <c r="G2" s="52"/>
      <c r="H2" s="52"/>
      <c r="I2" s="52"/>
    </row>
    <row r="3" spans="2:10" x14ac:dyDescent="0.25">
      <c r="B3" s="182" t="str">
        <f>FSM!C3</f>
        <v>All amounts are shown in EGP, except per-share data, ratios, and shares outstanding</v>
      </c>
    </row>
    <row r="4" spans="2:10" x14ac:dyDescent="0.25">
      <c r="B4" s="50" t="s">
        <v>1</v>
      </c>
      <c r="C4" s="54"/>
      <c r="D4" s="54">
        <v>46022</v>
      </c>
      <c r="F4" s="50" t="s">
        <v>2</v>
      </c>
      <c r="H4" s="55">
        <f>WACC!H78</f>
        <v>0.24356206391749088</v>
      </c>
      <c r="I4" s="50" t="s">
        <v>3</v>
      </c>
    </row>
    <row r="5" spans="2:10" x14ac:dyDescent="0.25">
      <c r="B5" s="50" t="s">
        <v>4</v>
      </c>
      <c r="C5" s="56"/>
      <c r="D5" s="56">
        <f>EOMONTH(D4,12)</f>
        <v>46387</v>
      </c>
      <c r="F5" s="50" t="s">
        <v>5</v>
      </c>
      <c r="H5" s="285">
        <v>17.03</v>
      </c>
    </row>
    <row r="6" spans="2:10" x14ac:dyDescent="0.25">
      <c r="B6" s="50" t="s">
        <v>6</v>
      </c>
      <c r="C6" s="54"/>
      <c r="D6" s="54">
        <v>46022</v>
      </c>
      <c r="F6" s="50" t="s">
        <v>7</v>
      </c>
      <c r="H6" s="57">
        <v>46274</v>
      </c>
      <c r="J6" s="58"/>
    </row>
    <row r="7" spans="2:10" x14ac:dyDescent="0.25">
      <c r="B7" s="50" t="s">
        <v>8</v>
      </c>
      <c r="C7" s="54"/>
      <c r="D7" s="54">
        <v>46022</v>
      </c>
      <c r="E7" s="58"/>
      <c r="F7" s="211" t="s">
        <v>9</v>
      </c>
      <c r="G7" s="58"/>
      <c r="H7" s="284">
        <f>C72</f>
        <v>5.0487906930593338</v>
      </c>
      <c r="J7" s="290"/>
    </row>
    <row r="8" spans="2:10" x14ac:dyDescent="0.25">
      <c r="B8" s="50" t="s">
        <v>10</v>
      </c>
      <c r="C8" s="136"/>
      <c r="D8" s="136">
        <f>YEARFRAC(D7,D5)</f>
        <v>1</v>
      </c>
      <c r="F8" s="211" t="s">
        <v>11</v>
      </c>
      <c r="H8" s="205">
        <f>H7/H5-1</f>
        <v>-0.70353548484678019</v>
      </c>
      <c r="I8" s="288" t="str">
        <f t="array" ref="I8">_xlfn.IFS(H8&gt;15%,"BUY",H8&gt;=0,"HOLD",H8&lt;0,"SELL")</f>
        <v>SELL</v>
      </c>
    </row>
    <row r="9" spans="2:10" x14ac:dyDescent="0.25">
      <c r="D9" s="60"/>
      <c r="F9" t="s">
        <v>12</v>
      </c>
      <c r="H9" s="234">
        <v>0</v>
      </c>
    </row>
    <row r="10" spans="2:10" x14ac:dyDescent="0.25">
      <c r="B10" s="61" t="s">
        <v>13</v>
      </c>
      <c r="C10" s="62"/>
      <c r="D10" s="63"/>
      <c r="F10" s="62"/>
      <c r="G10" s="62"/>
      <c r="H10" s="62"/>
      <c r="I10" s="62"/>
    </row>
    <row r="11" spans="2:10" ht="17.25" customHeight="1" x14ac:dyDescent="0.4">
      <c r="C11" s="64" t="s">
        <v>14</v>
      </c>
      <c r="D11" s="64" t="s">
        <v>15</v>
      </c>
      <c r="E11" s="65" t="s">
        <v>16</v>
      </c>
      <c r="F11" s="64"/>
      <c r="G11" s="64"/>
      <c r="H11" s="64"/>
      <c r="I11" s="64"/>
    </row>
    <row r="12" spans="2:10" x14ac:dyDescent="0.25">
      <c r="B12" s="66" t="s">
        <v>17</v>
      </c>
      <c r="C12" s="67">
        <f>D7</f>
        <v>46022</v>
      </c>
      <c r="D12" s="225">
        <f>D4</f>
        <v>46022</v>
      </c>
      <c r="E12" s="225">
        <f>EOMONTH(D12,12)</f>
        <v>46387</v>
      </c>
      <c r="F12" s="225">
        <f>EOMONTH(E12,12)</f>
        <v>46752</v>
      </c>
      <c r="G12" s="225">
        <f>EOMONTH(F12,12)</f>
        <v>47118</v>
      </c>
      <c r="H12" s="225">
        <f>EOMONTH(G12,12)</f>
        <v>47483</v>
      </c>
      <c r="I12" s="225">
        <f>EOMONTH(H12,12)</f>
        <v>47848</v>
      </c>
    </row>
    <row r="13" spans="2:10" x14ac:dyDescent="0.25">
      <c r="B13" s="66"/>
      <c r="D13" s="174"/>
      <c r="E13" s="181"/>
      <c r="F13" s="181"/>
      <c r="G13" s="181"/>
      <c r="H13" s="181"/>
      <c r="I13" s="180"/>
    </row>
    <row r="14" spans="2:10" x14ac:dyDescent="0.25">
      <c r="B14" s="50" t="s">
        <v>18</v>
      </c>
      <c r="C14" s="154">
        <f>E14*(1-$D$8)+D14*$D$8</f>
        <v>2877655973</v>
      </c>
      <c r="D14" s="175">
        <f>FSM!F16</f>
        <v>2877655973</v>
      </c>
      <c r="E14" s="175">
        <f>FSM!G16</f>
        <v>3512241329.1259999</v>
      </c>
      <c r="F14" s="175">
        <f>FSM!H16</f>
        <v>4145670431.9135056</v>
      </c>
      <c r="G14" s="175">
        <f>FSM!I16</f>
        <v>4768537629.4373875</v>
      </c>
      <c r="H14" s="175">
        <f>FSM!J16</f>
        <v>5341560854.4633684</v>
      </c>
      <c r="I14" s="175">
        <f>FSM!K16</f>
        <v>5876369814.0254908</v>
      </c>
    </row>
    <row r="15" spans="2:10" x14ac:dyDescent="0.25">
      <c r="B15" s="70" t="s">
        <v>19</v>
      </c>
      <c r="D15" s="176"/>
      <c r="E15" s="176">
        <f>E14/D14-1</f>
        <v>0.22052161970717954</v>
      </c>
      <c r="F15" s="176">
        <f t="shared" ref="F15:I15" si="0">F14/E14-1</f>
        <v>0.18034896905706943</v>
      </c>
      <c r="G15" s="176">
        <f t="shared" si="0"/>
        <v>0.15024522758225789</v>
      </c>
      <c r="H15" s="176">
        <f t="shared" si="0"/>
        <v>0.12016749568852392</v>
      </c>
      <c r="I15" s="176">
        <f t="shared" si="0"/>
        <v>0.10012222534453397</v>
      </c>
    </row>
    <row r="16" spans="2:10" x14ac:dyDescent="0.25">
      <c r="B16" s="50" t="s">
        <v>20</v>
      </c>
      <c r="C16" s="154">
        <f>E16*(1-$D$8)+D16*$D$8</f>
        <v>333679968</v>
      </c>
      <c r="D16" s="175">
        <f>FSM!F35</f>
        <v>333679968</v>
      </c>
      <c r="E16" s="175">
        <f>FSM!G35</f>
        <v>457379012.90056467</v>
      </c>
      <c r="F16" s="175">
        <f>FSM!H35</f>
        <v>540613491.07741785</v>
      </c>
      <c r="G16" s="175">
        <f>FSM!I35</f>
        <v>622460103.32057405</v>
      </c>
      <c r="H16" s="175">
        <f>FSM!J35</f>
        <v>697757068.53477776</v>
      </c>
      <c r="I16" s="175">
        <f>FSM!K35</f>
        <v>768032564.99928451</v>
      </c>
    </row>
    <row r="17" spans="2:13" x14ac:dyDescent="0.25">
      <c r="B17" s="70" t="s">
        <v>21</v>
      </c>
      <c r="D17" s="176">
        <f>D16/D14</f>
        <v>0.11595547596057272</v>
      </c>
      <c r="E17" s="176">
        <f t="shared" ref="E17:I17" si="1">E16/E14</f>
        <v>0.13022425569326715</v>
      </c>
      <c r="F17" s="176">
        <f t="shared" si="1"/>
        <v>0.13040435798170488</v>
      </c>
      <c r="G17" s="176">
        <f t="shared" si="1"/>
        <v>0.13053479949030297</v>
      </c>
      <c r="H17" s="176">
        <f t="shared" si="1"/>
        <v>0.13062793583110396</v>
      </c>
      <c r="I17" s="176">
        <f t="shared" si="1"/>
        <v>0.13069847359949577</v>
      </c>
    </row>
    <row r="18" spans="2:13" x14ac:dyDescent="0.25">
      <c r="B18" s="50" t="s">
        <v>22</v>
      </c>
      <c r="C18" s="154">
        <f>E18*(1-$D$8)+D18*$D$8</f>
        <v>277129999</v>
      </c>
      <c r="D18" s="175">
        <f>FSM!F25</f>
        <v>277129999</v>
      </c>
      <c r="E18" s="175">
        <f>FSM!G25</f>
        <v>370619711.86764145</v>
      </c>
      <c r="F18" s="175">
        <f>FSM!H25</f>
        <v>447918963.85465056</v>
      </c>
      <c r="G18" s="175">
        <f>FSM!I25</f>
        <v>512576972.66717702</v>
      </c>
      <c r="H18" s="175">
        <f>FSM!J25</f>
        <v>570851632.33672833</v>
      </c>
      <c r="I18" s="175">
        <f>FSM!K25</f>
        <v>624441159.95683432</v>
      </c>
    </row>
    <row r="19" spans="2:13" x14ac:dyDescent="0.25">
      <c r="B19" s="70" t="s">
        <v>21</v>
      </c>
      <c r="D19" s="176">
        <f>D18/D14</f>
        <v>9.6304075817335369E-2</v>
      </c>
      <c r="E19" s="176">
        <f t="shared" ref="E19:I19" si="2">E18/E14</f>
        <v>0.10552227968909754</v>
      </c>
      <c r="F19" s="176">
        <f t="shared" si="2"/>
        <v>0.10804500049173128</v>
      </c>
      <c r="G19" s="176">
        <f t="shared" si="2"/>
        <v>0.10749143919991527</v>
      </c>
      <c r="H19" s="176">
        <f t="shared" si="2"/>
        <v>0.10686981724821669</v>
      </c>
      <c r="I19" s="176">
        <f t="shared" si="2"/>
        <v>0.10626308073165212</v>
      </c>
    </row>
    <row r="20" spans="2:13" x14ac:dyDescent="0.25">
      <c r="B20" s="70"/>
      <c r="D20" s="175"/>
      <c r="E20" s="175"/>
      <c r="F20" s="175"/>
      <c r="G20" s="175"/>
      <c r="H20" s="175"/>
      <c r="I20" s="175"/>
    </row>
    <row r="21" spans="2:13" x14ac:dyDescent="0.25">
      <c r="B21" s="50" t="s">
        <v>23</v>
      </c>
      <c r="D21" s="177">
        <f>D18*D22</f>
        <v>64582256.862370752</v>
      </c>
      <c r="E21" s="177">
        <f t="shared" ref="E21:I21" si="3">E18*E22</f>
        <v>83389435.170219332</v>
      </c>
      <c r="F21" s="177">
        <f t="shared" si="3"/>
        <v>100781766.86729638</v>
      </c>
      <c r="G21" s="177">
        <f t="shared" si="3"/>
        <v>115329818.85011484</v>
      </c>
      <c r="H21" s="177">
        <f t="shared" si="3"/>
        <v>128441617.27576388</v>
      </c>
      <c r="I21" s="177">
        <f t="shared" si="3"/>
        <v>140499260.99028772</v>
      </c>
    </row>
    <row r="22" spans="2:13" ht="15" customHeight="1" x14ac:dyDescent="0.25">
      <c r="B22" s="70" t="s">
        <v>24</v>
      </c>
      <c r="D22" s="178">
        <f>FSM!F40</f>
        <v>0.23303957382964791</v>
      </c>
      <c r="E22" s="178">
        <f>FSM!G40</f>
        <v>0.22500000000000001</v>
      </c>
      <c r="F22" s="178">
        <f>FSM!H40</f>
        <v>0.22500000000000001</v>
      </c>
      <c r="G22" s="178">
        <f>FSM!I40</f>
        <v>0.22500000000000001</v>
      </c>
      <c r="H22" s="178">
        <f>FSM!J40</f>
        <v>0.22500000000000001</v>
      </c>
      <c r="I22" s="178">
        <f>FSM!K40</f>
        <v>0.22500000000000001</v>
      </c>
    </row>
    <row r="23" spans="2:13" x14ac:dyDescent="0.25">
      <c r="B23" s="71" t="s">
        <v>25</v>
      </c>
      <c r="C23" s="71"/>
      <c r="D23" s="179">
        <f>D18*(1-D22)</f>
        <v>212547742.13762924</v>
      </c>
      <c r="E23" s="179">
        <f t="shared" ref="E23:I23" si="4">E18*(1-E22)</f>
        <v>287230276.69742215</v>
      </c>
      <c r="F23" s="179">
        <f t="shared" si="4"/>
        <v>347137196.98735422</v>
      </c>
      <c r="G23" s="179">
        <f t="shared" si="4"/>
        <v>397247153.8170622</v>
      </c>
      <c r="H23" s="179">
        <f t="shared" si="4"/>
        <v>442410015.06096447</v>
      </c>
      <c r="I23" s="179">
        <f t="shared" si="4"/>
        <v>483941898.9665466</v>
      </c>
    </row>
    <row r="24" spans="2:13" x14ac:dyDescent="0.25">
      <c r="D24" s="68"/>
      <c r="E24" s="68"/>
      <c r="F24" s="68"/>
      <c r="G24" s="68"/>
      <c r="H24" s="68"/>
      <c r="I24" s="68"/>
    </row>
    <row r="25" spans="2:13" x14ac:dyDescent="0.25">
      <c r="B25" s="50" t="s">
        <v>26</v>
      </c>
      <c r="D25" s="69"/>
      <c r="E25" s="69">
        <f>FSM!G174</f>
        <v>86759301.032923192</v>
      </c>
      <c r="F25" s="69">
        <f>FSM!H174</f>
        <v>92694527.222767293</v>
      </c>
      <c r="G25" s="69">
        <f>FSM!I174</f>
        <v>109883130.65339704</v>
      </c>
      <c r="H25" s="69">
        <f>FSM!J174</f>
        <v>126905436.19804949</v>
      </c>
      <c r="I25" s="69">
        <f>FSM!K174</f>
        <v>143591405.04245025</v>
      </c>
      <c r="M25" s="73"/>
    </row>
    <row r="26" spans="2:13" x14ac:dyDescent="0.25">
      <c r="B26" s="50" t="s">
        <v>27</v>
      </c>
      <c r="D26" s="68"/>
      <c r="E26" s="68">
        <f>D32-E32</f>
        <v>37161989.698711634</v>
      </c>
      <c r="F26" s="68">
        <f t="shared" ref="F26:I26" si="5">E32-F32</f>
        <v>10444965.134340644</v>
      </c>
      <c r="G26" s="68">
        <f t="shared" si="5"/>
        <v>10270803.998161077</v>
      </c>
      <c r="H26" s="68">
        <f t="shared" si="5"/>
        <v>9448898.9852613211</v>
      </c>
      <c r="I26" s="68">
        <f t="shared" si="5"/>
        <v>8818762.6864271164</v>
      </c>
      <c r="M26" s="73"/>
    </row>
    <row r="27" spans="2:13" x14ac:dyDescent="0.25">
      <c r="B27" s="50" t="s">
        <v>28</v>
      </c>
      <c r="D27" s="69"/>
      <c r="E27" s="69">
        <f>-FSM!G163</f>
        <v>-35122413.291259997</v>
      </c>
      <c r="F27" s="69">
        <f>-FSM!H163</f>
        <v>-82913408.63827011</v>
      </c>
      <c r="G27" s="69">
        <f>-FSM!I163</f>
        <v>-95370752.588747755</v>
      </c>
      <c r="H27" s="69">
        <f>-FSM!J163</f>
        <v>-106831217.08926737</v>
      </c>
      <c r="I27" s="69">
        <f>-FSM!K163</f>
        <v>-117527396.28050981</v>
      </c>
      <c r="M27" s="73"/>
    </row>
    <row r="28" spans="2:13" x14ac:dyDescent="0.25">
      <c r="B28" s="360" t="s">
        <v>389</v>
      </c>
      <c r="D28" s="1"/>
      <c r="E28" s="69">
        <f>-FSM!G269</f>
        <v>-53366787.879486434</v>
      </c>
      <c r="F28" s="69">
        <f>-FSM!H269</f>
        <v>-62991433.055439129</v>
      </c>
      <c r="G28" s="69">
        <f>-FSM!I269</f>
        <v>-72455595.250586137</v>
      </c>
      <c r="H28" s="69">
        <f>-FSM!J269</f>
        <v>-81162402.680470377</v>
      </c>
      <c r="I28" s="69">
        <f>-FSM!K269</f>
        <v>-89288563.051148236</v>
      </c>
      <c r="M28" s="73"/>
    </row>
    <row r="29" spans="2:13" x14ac:dyDescent="0.25">
      <c r="B29" s="211"/>
      <c r="D29" s="69"/>
      <c r="E29" s="69"/>
      <c r="F29" s="69"/>
      <c r="G29" s="69"/>
      <c r="H29" s="69"/>
      <c r="I29" s="69"/>
      <c r="M29" s="73"/>
    </row>
    <row r="30" spans="2:13" x14ac:dyDescent="0.25">
      <c r="B30" s="71" t="s">
        <v>30</v>
      </c>
      <c r="C30" s="71"/>
      <c r="D30" s="72"/>
      <c r="E30" s="72">
        <f>SUM(E23:E28)</f>
        <v>322662366.25831056</v>
      </c>
      <c r="F30" s="72">
        <f t="shared" ref="F30:I30" si="6">SUM(F23:F28)</f>
        <v>304371847.6507529</v>
      </c>
      <c r="G30" s="72">
        <f t="shared" si="6"/>
        <v>349574740.62928641</v>
      </c>
      <c r="H30" s="72">
        <f t="shared" si="6"/>
        <v>390770730.47453749</v>
      </c>
      <c r="I30" s="72">
        <f t="shared" si="6"/>
        <v>429536107.3637659</v>
      </c>
      <c r="M30" s="72"/>
    </row>
    <row r="31" spans="2:13" x14ac:dyDescent="0.25">
      <c r="D31" s="69"/>
      <c r="E31" s="69"/>
      <c r="F31" s="69"/>
      <c r="G31" s="69"/>
      <c r="H31" s="69"/>
      <c r="I31" s="69"/>
      <c r="M31" s="73"/>
    </row>
    <row r="32" spans="2:13" x14ac:dyDescent="0.25">
      <c r="B32" s="50" t="s">
        <v>31</v>
      </c>
      <c r="C32" s="69"/>
      <c r="D32" s="69">
        <f>FSM!F210</f>
        <v>-20753313</v>
      </c>
      <c r="E32" s="69">
        <f>FSM!G210</f>
        <v>-57915302.698711634</v>
      </c>
      <c r="F32" s="69">
        <f>FSM!H210</f>
        <v>-68360267.833052278</v>
      </c>
      <c r="G32" s="69">
        <f>FSM!I210</f>
        <v>-78631071.831213355</v>
      </c>
      <c r="H32" s="69">
        <f>FSM!J210</f>
        <v>-88079970.816474676</v>
      </c>
      <c r="I32" s="69">
        <f>FSM!K210</f>
        <v>-96898733.502901793</v>
      </c>
    </row>
    <row r="33" spans="2:13" x14ac:dyDescent="0.25">
      <c r="B33" s="70" t="s">
        <v>29</v>
      </c>
      <c r="D33" s="59">
        <f t="shared" ref="D33:I33" si="7">D32/D14</f>
        <v>-7.2118811959180637E-3</v>
      </c>
      <c r="E33" s="59">
        <f t="shared" si="7"/>
        <v>-1.648955674498697E-2</v>
      </c>
      <c r="F33" s="59">
        <f t="shared" si="7"/>
        <v>-1.6489556744986943E-2</v>
      </c>
      <c r="G33" s="59">
        <f t="shared" si="7"/>
        <v>-1.648955674498695E-2</v>
      </c>
      <c r="H33" s="59">
        <f t="shared" si="7"/>
        <v>-1.6489556744986946E-2</v>
      </c>
      <c r="I33" s="59">
        <f t="shared" si="7"/>
        <v>-1.648955674498696E-2</v>
      </c>
      <c r="J33" s="69"/>
    </row>
    <row r="34" spans="2:13" x14ac:dyDescent="0.25">
      <c r="E34" s="343"/>
      <c r="F34" s="343"/>
      <c r="G34" s="343"/>
      <c r="H34" s="343"/>
      <c r="I34" s="343"/>
      <c r="J34" s="69"/>
      <c r="K34" s="74"/>
      <c r="M34" s="59"/>
    </row>
    <row r="35" spans="2:13" x14ac:dyDescent="0.25">
      <c r="B35" s="61" t="str">
        <f>"Present value of UFCF on "&amp;TEXT(D7,"mmm dd, yyyy")&amp;" valuation date"</f>
        <v>Present value of UFCF on Dec 31, 2025 valuation date</v>
      </c>
      <c r="C35" s="62"/>
      <c r="D35" s="75"/>
      <c r="E35" s="62"/>
      <c r="F35" s="75"/>
      <c r="G35" s="75"/>
      <c r="H35" s="75"/>
      <c r="I35" s="75"/>
      <c r="J35" s="69"/>
    </row>
    <row r="36" spans="2:13" ht="17.25" customHeight="1" x14ac:dyDescent="0.4">
      <c r="B36" s="71"/>
      <c r="D36" s="76" t="s">
        <v>32</v>
      </c>
      <c r="E36" s="76" t="s">
        <v>33</v>
      </c>
      <c r="F36" s="77" t="s">
        <v>34</v>
      </c>
      <c r="G36" s="77" t="s">
        <v>35</v>
      </c>
      <c r="H36" s="77" t="s">
        <v>36</v>
      </c>
      <c r="I36" s="77" t="s">
        <v>37</v>
      </c>
      <c r="J36" s="69"/>
    </row>
    <row r="37" spans="2:13" x14ac:dyDescent="0.25">
      <c r="B37" s="50" t="s">
        <v>38</v>
      </c>
      <c r="D37" s="78">
        <f>D7</f>
        <v>46022</v>
      </c>
      <c r="E37" s="155">
        <f>IF($H$9=1,AVERAGE(E12,D37),E12)</f>
        <v>46387</v>
      </c>
      <c r="F37" s="155">
        <f>IF($H$9=1,AVERAGE(F12,E12),F12)</f>
        <v>46752</v>
      </c>
      <c r="G37" s="155">
        <f>IF($H$9=1,AVERAGE(G12,F12),G12)</f>
        <v>47118</v>
      </c>
      <c r="H37" s="155">
        <f>IF($H$9=1,AVERAGE(H12,G12),H12)</f>
        <v>47483</v>
      </c>
      <c r="I37" s="155">
        <f>IF($H$9=1,AVERAGE(I12,H12),I12)</f>
        <v>47848</v>
      </c>
      <c r="J37" s="69"/>
    </row>
    <row r="38" spans="2:13" x14ac:dyDescent="0.25">
      <c r="B38" s="50" t="s">
        <v>39</v>
      </c>
      <c r="C38" s="79">
        <f>D8</f>
        <v>1</v>
      </c>
      <c r="D38" s="73"/>
      <c r="E38" s="80">
        <f>E30*C38</f>
        <v>322662366.25831056</v>
      </c>
      <c r="F38" s="80">
        <f>F30</f>
        <v>304371847.6507529</v>
      </c>
      <c r="G38" s="80">
        <f t="shared" ref="G38:I38" si="8">G30</f>
        <v>349574740.62928641</v>
      </c>
      <c r="H38" s="80">
        <f t="shared" si="8"/>
        <v>390770730.47453749</v>
      </c>
      <c r="I38" s="80">
        <f t="shared" si="8"/>
        <v>429536107.3637659</v>
      </c>
      <c r="J38" s="68"/>
    </row>
    <row r="39" spans="2:13" ht="15" customHeight="1" x14ac:dyDescent="0.25">
      <c r="B39" s="71" t="s">
        <v>40</v>
      </c>
      <c r="C39" s="81"/>
      <c r="D39" s="72"/>
      <c r="E39" s="72">
        <f>E38/(1+WACC!D$78)^((E37-$D$37)/365)</f>
        <v>259466234.63396266</v>
      </c>
      <c r="F39" s="72">
        <f>F38/(1+WACC!E$78)^((F37-$D$37)/365)</f>
        <v>196820146.46317357</v>
      </c>
      <c r="G39" s="72">
        <f>G38/(1+WACC!F$78)^((G37-$D$37)/365)</f>
        <v>181667937.743238</v>
      </c>
      <c r="H39" s="72">
        <f>H38/(1+WACC!G$78)^((H37-$D$37)/365)</f>
        <v>163302488.87857234</v>
      </c>
      <c r="I39" s="72">
        <f>I38/(1+WACC!H$78)^((I37-$D$37)/365)</f>
        <v>144345413.57311347</v>
      </c>
      <c r="J39" s="68"/>
    </row>
    <row r="40" spans="2:13" x14ac:dyDescent="0.25">
      <c r="B40" s="61" t="s">
        <v>41</v>
      </c>
      <c r="C40" s="61"/>
      <c r="E40" s="61" t="s">
        <v>42</v>
      </c>
      <c r="F40" s="62"/>
      <c r="G40" s="62"/>
      <c r="H40" s="62"/>
      <c r="I40" s="62"/>
    </row>
    <row r="41" spans="2:13" x14ac:dyDescent="0.25">
      <c r="B41" s="50" t="s">
        <v>43</v>
      </c>
      <c r="C41" s="82">
        <v>0.1</v>
      </c>
      <c r="E41" s="50" t="s">
        <v>44</v>
      </c>
      <c r="I41" s="73">
        <f>I16</f>
        <v>768032564.99928451</v>
      </c>
      <c r="J41" s="73"/>
    </row>
    <row r="42" spans="2:13" x14ac:dyDescent="0.25">
      <c r="B42" s="83" t="str">
        <f>YEAR(I12)&amp;" FCF x (1+g)"</f>
        <v>2030 FCF x (1+g)</v>
      </c>
      <c r="C42" s="73">
        <f>I38*(1+C41)</f>
        <v>472489718.10014254</v>
      </c>
      <c r="E42" s="50" t="s">
        <v>45</v>
      </c>
      <c r="I42" s="256">
        <v>9.1999999999999993</v>
      </c>
      <c r="J42" s="84"/>
    </row>
    <row r="43" spans="2:13" x14ac:dyDescent="0.25">
      <c r="B43" s="50" t="str">
        <f>"Terminal value in "&amp;YEAR(I12)</f>
        <v>Terminal value in 2030</v>
      </c>
      <c r="C43" s="73">
        <f>C42/(WACC!H78-C41)</f>
        <v>3291187833.3798237</v>
      </c>
      <c r="E43" s="50" t="str">
        <f>"Terminal value in "&amp;YEAR(I12)</f>
        <v>Terminal value in 2030</v>
      </c>
      <c r="I43" s="73">
        <f>I41*I42</f>
        <v>7065899597.9934168</v>
      </c>
      <c r="J43" s="73"/>
    </row>
    <row r="44" spans="2:13" x14ac:dyDescent="0.25">
      <c r="B44" s="50" t="s">
        <v>46</v>
      </c>
      <c r="C44" s="73">
        <f>C43/(1+WACC!H78)^((I37-$D$37)/365)</f>
        <v>1106002174.9316735</v>
      </c>
      <c r="E44" s="50" t="s">
        <v>46</v>
      </c>
      <c r="I44" s="73">
        <f>I43/(1+WACC!H78)^((I37-D37)/365)</f>
        <v>2374492347.100163</v>
      </c>
      <c r="J44" s="73"/>
    </row>
    <row r="45" spans="2:13" x14ac:dyDescent="0.25">
      <c r="B45" s="50" t="s">
        <v>47</v>
      </c>
      <c r="C45" s="68">
        <f>SUM(E39:I39)</f>
        <v>945602221.29206002</v>
      </c>
      <c r="E45" s="50" t="s">
        <v>47</v>
      </c>
      <c r="I45" s="73">
        <f>C45</f>
        <v>945602221.29206002</v>
      </c>
      <c r="J45" s="73"/>
    </row>
    <row r="46" spans="2:13" x14ac:dyDescent="0.25">
      <c r="B46" s="71" t="s">
        <v>48</v>
      </c>
      <c r="C46" s="85">
        <f>SUM(C44:C45)</f>
        <v>2051604396.2237334</v>
      </c>
      <c r="E46" s="71" t="s">
        <v>49</v>
      </c>
      <c r="I46" s="85">
        <f>SUM(I44:I45)</f>
        <v>3320094568.3922229</v>
      </c>
      <c r="J46" s="85"/>
    </row>
    <row r="48" spans="2:13" x14ac:dyDescent="0.25">
      <c r="B48" s="86" t="s">
        <v>50</v>
      </c>
      <c r="C48" s="87">
        <f>C44/C46</f>
        <v>0.5390913457620905</v>
      </c>
      <c r="E48" s="86" t="s">
        <v>50</v>
      </c>
      <c r="I48" s="87">
        <f>I44/I46</f>
        <v>0.7151881665376858</v>
      </c>
      <c r="J48" s="87"/>
    </row>
    <row r="49" spans="2:10" x14ac:dyDescent="0.25">
      <c r="B49" s="86" t="s">
        <v>51</v>
      </c>
      <c r="C49" s="87">
        <f>1-C48</f>
        <v>0.4609086542379095</v>
      </c>
      <c r="E49" s="86" t="s">
        <v>52</v>
      </c>
      <c r="G49" s="88"/>
      <c r="I49" s="89">
        <f>1-I48</f>
        <v>0.2848118334623142</v>
      </c>
      <c r="J49" s="89"/>
    </row>
    <row r="50" spans="2:10" x14ac:dyDescent="0.25">
      <c r="B50" s="86" t="s">
        <v>53</v>
      </c>
      <c r="C50" s="319">
        <f>C43/I16</f>
        <v>4.2852191213830757</v>
      </c>
      <c r="E50" s="50" t="s">
        <v>54</v>
      </c>
      <c r="I50" s="216">
        <f>(H4-I38/I43)/(1+I38/I43)</f>
        <v>0.17229805349864419</v>
      </c>
      <c r="J50" s="91"/>
    </row>
    <row r="51" spans="2:10" x14ac:dyDescent="0.25">
      <c r="B51" s="86"/>
      <c r="C51" s="66"/>
      <c r="D51" s="90"/>
      <c r="I51" s="91"/>
      <c r="J51" s="91"/>
    </row>
    <row r="52" spans="2:10" x14ac:dyDescent="0.25">
      <c r="B52" s="61" t="s">
        <v>55</v>
      </c>
      <c r="C52" s="62"/>
      <c r="E52" s="61" t="s">
        <v>56</v>
      </c>
      <c r="F52" s="62"/>
      <c r="G52" s="61"/>
      <c r="H52" s="62"/>
      <c r="I52" s="62"/>
    </row>
    <row r="53" spans="2:10" x14ac:dyDescent="0.25">
      <c r="B53" s="50" t="s">
        <v>57</v>
      </c>
      <c r="C53" s="188" t="s">
        <v>58</v>
      </c>
    </row>
    <row r="54" spans="2:10" x14ac:dyDescent="0.25">
      <c r="B54" s="92" t="s">
        <v>59</v>
      </c>
      <c r="C54" s="57" t="s">
        <v>60</v>
      </c>
      <c r="G54" s="93" t="s">
        <v>57</v>
      </c>
      <c r="H54" s="94" t="s">
        <v>61</v>
      </c>
      <c r="I54" s="94" t="s">
        <v>62</v>
      </c>
    </row>
    <row r="55" spans="2:10" x14ac:dyDescent="0.25">
      <c r="B55" s="95" t="s">
        <v>63</v>
      </c>
      <c r="C55" s="96"/>
      <c r="E55" s="50" t="s">
        <v>64</v>
      </c>
      <c r="G55" s="189" t="s">
        <v>58</v>
      </c>
      <c r="H55" s="57" t="s">
        <v>60</v>
      </c>
      <c r="I55" s="186">
        <v>400000000</v>
      </c>
      <c r="J55" s="97"/>
    </row>
    <row r="56" spans="2:10" x14ac:dyDescent="0.25">
      <c r="B56" s="70" t="s">
        <v>65</v>
      </c>
      <c r="C56" s="99">
        <f>FSM!F91+FSM!F93+FSM!F94+FSM!F95+FSM!F99+FSM!F103+FSM!F104+FSM!F105+FSM!F106</f>
        <v>338508901</v>
      </c>
      <c r="E56" s="92" t="s">
        <v>66</v>
      </c>
      <c r="G56" s="189"/>
      <c r="H56" s="57"/>
      <c r="I56" s="183"/>
      <c r="J56" s="98"/>
    </row>
    <row r="57" spans="2:10" x14ac:dyDescent="0.25">
      <c r="B57" s="70" t="s">
        <v>67</v>
      </c>
      <c r="C57" s="183"/>
      <c r="E57" s="92" t="s">
        <v>68</v>
      </c>
      <c r="G57" s="57"/>
      <c r="H57" s="57"/>
      <c r="I57" s="183"/>
    </row>
    <row r="58" spans="2:10" ht="15" customHeight="1" x14ac:dyDescent="0.25">
      <c r="B58" s="70" t="s">
        <v>69</v>
      </c>
      <c r="C58" s="183"/>
      <c r="E58" s="50" t="s">
        <v>67</v>
      </c>
      <c r="G58" s="57"/>
      <c r="H58" s="57"/>
      <c r="I58" s="183"/>
    </row>
    <row r="59" spans="2:10" x14ac:dyDescent="0.25">
      <c r="B59" s="100" t="s">
        <v>70</v>
      </c>
      <c r="C59" s="99">
        <f>FSM!F117</f>
        <v>-417023</v>
      </c>
      <c r="E59" s="50" t="s">
        <v>71</v>
      </c>
      <c r="G59" s="57"/>
      <c r="H59" s="57"/>
      <c r="I59" s="183"/>
    </row>
    <row r="60" spans="2:10" ht="15" customHeight="1" x14ac:dyDescent="0.25">
      <c r="B60" s="95" t="s">
        <v>72</v>
      </c>
      <c r="C60" s="99"/>
      <c r="E60" s="101" t="s">
        <v>73</v>
      </c>
      <c r="I60" s="187">
        <f>SUM(I55:I59)</f>
        <v>400000000</v>
      </c>
      <c r="J60" s="102"/>
    </row>
    <row r="61" spans="2:10" x14ac:dyDescent="0.25">
      <c r="B61" s="103" t="s">
        <v>74</v>
      </c>
      <c r="C61" s="99">
        <f>FSM!F74</f>
        <v>104342521</v>
      </c>
      <c r="J61" s="104"/>
    </row>
    <row r="62" spans="2:10" x14ac:dyDescent="0.25">
      <c r="B62" s="103" t="s">
        <v>75</v>
      </c>
      <c r="C62" s="99"/>
      <c r="J62" s="104"/>
    </row>
    <row r="63" spans="2:10" x14ac:dyDescent="0.25">
      <c r="B63" s="103" t="s">
        <v>76</v>
      </c>
      <c r="C63" s="99">
        <f>FSM!F69</f>
        <v>201661238</v>
      </c>
      <c r="J63" s="105"/>
    </row>
    <row r="64" spans="2:10" x14ac:dyDescent="0.25">
      <c r="B64" s="106" t="s">
        <v>55</v>
      </c>
      <c r="C64" s="14">
        <f>SUM(C56:C59)-SUM(C61:C63)</f>
        <v>32088119</v>
      </c>
    </row>
    <row r="66" spans="2:9" x14ac:dyDescent="0.25">
      <c r="B66" s="61" t="s">
        <v>77</v>
      </c>
      <c r="C66" s="62"/>
      <c r="D66" s="62"/>
    </row>
    <row r="67" spans="2:9" ht="17.25" customHeight="1" x14ac:dyDescent="0.4">
      <c r="C67" s="107" t="s">
        <v>78</v>
      </c>
      <c r="D67" s="107" t="s">
        <v>20</v>
      </c>
    </row>
    <row r="68" spans="2:9" x14ac:dyDescent="0.25">
      <c r="B68" s="50" t="s">
        <v>79</v>
      </c>
      <c r="C68" s="108">
        <f>C46</f>
        <v>2051604396.2237334</v>
      </c>
      <c r="D68" s="108">
        <f>I46</f>
        <v>3320094568.3922229</v>
      </c>
    </row>
    <row r="69" spans="2:9" x14ac:dyDescent="0.25">
      <c r="B69" s="50" t="s">
        <v>55</v>
      </c>
      <c r="C69" s="109">
        <f>C64</f>
        <v>32088119</v>
      </c>
      <c r="D69" s="109">
        <f>C64</f>
        <v>32088119</v>
      </c>
    </row>
    <row r="70" spans="2:9" x14ac:dyDescent="0.25">
      <c r="B70" s="50" t="s">
        <v>80</v>
      </c>
      <c r="C70" s="110">
        <f>C68-C69</f>
        <v>2019516277.2237334</v>
      </c>
      <c r="D70" s="110">
        <f>D68-D69</f>
        <v>3288006449.3922229</v>
      </c>
    </row>
    <row r="71" spans="2:9" x14ac:dyDescent="0.25">
      <c r="B71" s="50" t="s">
        <v>56</v>
      </c>
      <c r="C71" s="212">
        <f>$I$60</f>
        <v>400000000</v>
      </c>
      <c r="D71" s="212">
        <f>$I$60</f>
        <v>400000000</v>
      </c>
      <c r="F71" s="71"/>
      <c r="G71" s="358"/>
      <c r="H71" s="358"/>
      <c r="I71" s="354"/>
    </row>
    <row r="72" spans="2:9" x14ac:dyDescent="0.25">
      <c r="B72" s="71" t="s">
        <v>81</v>
      </c>
      <c r="C72" s="284">
        <f>C70/C71</f>
        <v>5.0487906930593338</v>
      </c>
      <c r="D72" s="284">
        <f>D70/D71</f>
        <v>8.2200161234805567</v>
      </c>
      <c r="E72" s="357">
        <f ca="1">C72/G72</f>
        <v>9.6609083296198509E-2</v>
      </c>
      <c r="F72" s="71" t="e" vm="1">
        <v>#VALUE!</v>
      </c>
      <c r="G72" s="359" cm="1">
        <f t="array" aca="1" ref="G72" ca="1">_FV(F72,"Price")</f>
        <v>52.26</v>
      </c>
    </row>
    <row r="73" spans="2:9" x14ac:dyDescent="0.25">
      <c r="E73" s="257"/>
    </row>
    <row r="74" spans="2:9" ht="17.25" customHeight="1" x14ac:dyDescent="0.4">
      <c r="C74" s="64" t="s">
        <v>82</v>
      </c>
      <c r="D74" s="64"/>
    </row>
    <row r="75" spans="2:9" x14ac:dyDescent="0.25">
      <c r="B75" s="93"/>
      <c r="C75" s="94" t="s">
        <v>78</v>
      </c>
      <c r="D75" s="94" t="s">
        <v>20</v>
      </c>
    </row>
    <row r="76" spans="2:9" x14ac:dyDescent="0.25">
      <c r="B76" s="50" t="s">
        <v>83</v>
      </c>
      <c r="C76" s="229">
        <f>C68/$C$14</f>
        <v>0.71294290056670839</v>
      </c>
      <c r="D76" s="229">
        <f>D68/$C$14</f>
        <v>1.153749648861248</v>
      </c>
    </row>
    <row r="77" spans="2:9" x14ac:dyDescent="0.25">
      <c r="B77" s="50" t="s">
        <v>84</v>
      </c>
      <c r="C77" s="230">
        <f>C68/$C$16</f>
        <v>6.1484194227198365</v>
      </c>
      <c r="D77" s="230">
        <f>D68/$C$16</f>
        <v>9.9499367261753715</v>
      </c>
    </row>
    <row r="78" spans="2:9" x14ac:dyDescent="0.25">
      <c r="B78" s="68" t="s">
        <v>85</v>
      </c>
      <c r="C78" s="230">
        <f>C68/$C$18</f>
        <v>7.4030397417341076</v>
      </c>
      <c r="D78" s="230">
        <f>D68/$C$18</f>
        <v>11.980278498800207</v>
      </c>
    </row>
    <row r="79" spans="2:9" ht="17.25" customHeight="1" x14ac:dyDescent="0.4">
      <c r="B79" s="68"/>
      <c r="C79" s="64" t="s">
        <v>86</v>
      </c>
      <c r="D79" s="64"/>
      <c r="E79" s="111"/>
      <c r="F79" s="111"/>
    </row>
    <row r="80" spans="2:9" x14ac:dyDescent="0.25">
      <c r="B80" s="93"/>
      <c r="C80" s="94" t="s">
        <v>78</v>
      </c>
      <c r="D80" s="94" t="s">
        <v>20</v>
      </c>
      <c r="E80" s="111"/>
      <c r="F80" s="111"/>
    </row>
    <row r="81" spans="2:17" x14ac:dyDescent="0.25">
      <c r="B81" s="50" t="s">
        <v>83</v>
      </c>
      <c r="C81" s="229">
        <f>C68/$E$14</f>
        <v>0.58412967788129266</v>
      </c>
      <c r="D81" s="229">
        <f>D68/$E$14</f>
        <v>0.94529226703747271</v>
      </c>
      <c r="E81" s="111"/>
      <c r="F81" s="111"/>
    </row>
    <row r="82" spans="2:17" x14ac:dyDescent="0.25">
      <c r="B82" s="50" t="s">
        <v>84</v>
      </c>
      <c r="C82" s="230">
        <f>C68/$E$16</f>
        <v>4.4855674142393527</v>
      </c>
      <c r="D82" s="230">
        <f>D68/$E$16</f>
        <v>7.2589569585564249</v>
      </c>
      <c r="E82" s="111"/>
      <c r="F82" s="111"/>
    </row>
    <row r="83" spans="2:17" x14ac:dyDescent="0.25">
      <c r="B83" s="68" t="s">
        <v>85</v>
      </c>
      <c r="C83" s="230">
        <f>C68/$E$18</f>
        <v>5.5356051783786882</v>
      </c>
      <c r="D83" s="230">
        <f>D68/$E$18</f>
        <v>8.9582244604893564</v>
      </c>
      <c r="E83" s="111"/>
      <c r="F83" s="111"/>
    </row>
    <row r="85" spans="2:17" x14ac:dyDescent="0.25">
      <c r="B85" s="61" t="s">
        <v>87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</row>
    <row r="86" spans="2:17" x14ac:dyDescent="0.25">
      <c r="B86" s="71"/>
    </row>
    <row r="87" spans="2:17" ht="17.25" customHeight="1" x14ac:dyDescent="0.4">
      <c r="B87" s="112"/>
      <c r="C87" s="71"/>
      <c r="D87" s="113" t="s">
        <v>81</v>
      </c>
      <c r="E87" s="64"/>
      <c r="F87" s="64"/>
      <c r="G87" s="64"/>
      <c r="H87" s="64"/>
      <c r="I87" s="64"/>
      <c r="J87" s="114"/>
      <c r="L87" s="113" t="s">
        <v>88</v>
      </c>
      <c r="M87" s="64"/>
      <c r="N87" s="64"/>
      <c r="O87" s="64"/>
      <c r="P87" s="64"/>
      <c r="Q87" s="64"/>
    </row>
    <row r="88" spans="2:17" ht="15" customHeight="1" x14ac:dyDescent="0.25">
      <c r="B88" s="112"/>
      <c r="D88" s="92"/>
      <c r="E88" s="115" t="s">
        <v>89</v>
      </c>
      <c r="F88" s="115"/>
      <c r="G88" s="115"/>
      <c r="H88" s="115"/>
      <c r="I88" s="115"/>
      <c r="J88" s="116"/>
      <c r="L88" s="115" t="s">
        <v>89</v>
      </c>
      <c r="M88" s="115"/>
      <c r="N88" s="115"/>
      <c r="O88" s="115"/>
      <c r="P88" s="115"/>
      <c r="Q88" s="115"/>
    </row>
    <row r="89" spans="2:17" ht="15" customHeight="1" x14ac:dyDescent="0.25">
      <c r="B89" s="112"/>
      <c r="C89" s="117"/>
      <c r="D89" s="158">
        <f>C72</f>
        <v>5.0487906930593338</v>
      </c>
      <c r="E89" s="192">
        <f>F89-0.005</f>
        <v>0.09</v>
      </c>
      <c r="F89" s="193">
        <f>G89-0.005</f>
        <v>9.5000000000000001E-2</v>
      </c>
      <c r="G89" s="118">
        <v>0.1</v>
      </c>
      <c r="H89" s="193">
        <f>G89+0.005</f>
        <v>0.10500000000000001</v>
      </c>
      <c r="I89" s="217">
        <f>H89+0.005</f>
        <v>0.11000000000000001</v>
      </c>
      <c r="K89" s="122"/>
      <c r="L89" s="119">
        <f>C77</f>
        <v>6.1484194227198365</v>
      </c>
      <c r="M89" s="192">
        <f>N89-0.005</f>
        <v>0.09</v>
      </c>
      <c r="N89" s="193">
        <f>O89-0.005</f>
        <v>9.5000000000000001E-2</v>
      </c>
      <c r="O89" s="118">
        <v>0.1</v>
      </c>
      <c r="P89" s="193">
        <f>O89+0.005</f>
        <v>0.10500000000000001</v>
      </c>
      <c r="Q89" s="217">
        <f>P89+0.005</f>
        <v>0.11000000000000001</v>
      </c>
    </row>
    <row r="90" spans="2:17" ht="15" customHeight="1" x14ac:dyDescent="0.25">
      <c r="B90" s="112"/>
      <c r="D90" s="190">
        <f>D91+0.01</f>
        <v>0.28516740039140276</v>
      </c>
      <c r="E90" s="120">
        <f t="dataTable" ref="E90:I94" dt2D="1" dtr="1" r1="C41" r2="H4"/>
        <v>4.8452333240374186</v>
      </c>
      <c r="F90" s="120">
        <v>4.9435865484468158</v>
      </c>
      <c r="G90" s="120">
        <v>5.0487906930593338</v>
      </c>
      <c r="H90" s="120">
        <v>5.1615874024502721</v>
      </c>
      <c r="I90" s="120">
        <v>5.2828293773666539</v>
      </c>
      <c r="J90" s="121"/>
      <c r="L90" s="190">
        <f>L91+0.01</f>
        <v>0.28516740039140276</v>
      </c>
      <c r="M90" s="122">
        <f t="dataTable" ref="M90:Q94" dt2D="1" dtr="1" r1="C41" r2="H4" ca="1"/>
        <v>5.9044043321622688</v>
      </c>
      <c r="N90" s="122">
        <v>6.0223055954582394</v>
      </c>
      <c r="O90" s="122">
        <v>6.1484194227198365</v>
      </c>
      <c r="P90" s="122">
        <v>6.2836348629118444</v>
      </c>
      <c r="Q90" s="122">
        <v>6.4289740939637747</v>
      </c>
    </row>
    <row r="91" spans="2:17" ht="15" customHeight="1" x14ac:dyDescent="0.25">
      <c r="B91" s="112"/>
      <c r="D91" s="190">
        <f>D92+0.01</f>
        <v>0.27516740039140275</v>
      </c>
      <c r="E91" s="120">
        <v>4.8452333240374186</v>
      </c>
      <c r="F91" s="120">
        <v>4.9435865484468158</v>
      </c>
      <c r="G91" s="120">
        <v>5.0487906930593338</v>
      </c>
      <c r="H91" s="120">
        <v>5.1615874024502721</v>
      </c>
      <c r="I91" s="120">
        <v>5.2828293773666539</v>
      </c>
      <c r="J91" s="121"/>
      <c r="L91" s="190">
        <f>L92+0.01</f>
        <v>0.27516740039140275</v>
      </c>
      <c r="M91" s="122">
        <v>5.9044043321622688</v>
      </c>
      <c r="N91" s="122">
        <v>6.0223055954582394</v>
      </c>
      <c r="O91" s="122">
        <v>6.1484194227198365</v>
      </c>
      <c r="P91" s="122">
        <v>6.2836348629118444</v>
      </c>
      <c r="Q91" s="122">
        <v>6.4289740939637747</v>
      </c>
    </row>
    <row r="92" spans="2:17" ht="15" customHeight="1" x14ac:dyDescent="0.25">
      <c r="B92" s="112"/>
      <c r="C92" s="117" t="s">
        <v>90</v>
      </c>
      <c r="D92" s="123">
        <v>0.26516740039140274</v>
      </c>
      <c r="E92" s="120">
        <v>4.8452333240374186</v>
      </c>
      <c r="F92" s="120">
        <v>4.9435865484468158</v>
      </c>
      <c r="G92" s="120">
        <v>5.0487906930593338</v>
      </c>
      <c r="H92" s="120">
        <v>5.1615874024502721</v>
      </c>
      <c r="I92" s="120">
        <v>5.2828293773666539</v>
      </c>
      <c r="J92" s="121"/>
      <c r="K92" s="117" t="s">
        <v>90</v>
      </c>
      <c r="L92" s="123">
        <v>0.26516740039140274</v>
      </c>
      <c r="M92" s="122">
        <v>5.9044043321622688</v>
      </c>
      <c r="N92" s="122">
        <v>6.0223055954582394</v>
      </c>
      <c r="O92" s="122">
        <v>6.1484194227198365</v>
      </c>
      <c r="P92" s="122">
        <v>6.2836348629118444</v>
      </c>
      <c r="Q92" s="122">
        <v>6.4289740939637747</v>
      </c>
    </row>
    <row r="93" spans="2:17" ht="15" customHeight="1" x14ac:dyDescent="0.25">
      <c r="B93" s="112"/>
      <c r="D93" s="190">
        <f>D92-0.01</f>
        <v>0.25516740039140273</v>
      </c>
      <c r="E93" s="120">
        <v>4.8452333240374186</v>
      </c>
      <c r="F93" s="120">
        <v>4.9435865484468158</v>
      </c>
      <c r="G93" s="120">
        <v>5.0487906930593338</v>
      </c>
      <c r="H93" s="120">
        <v>5.1615874024502721</v>
      </c>
      <c r="I93" s="120">
        <v>5.2828293773666539</v>
      </c>
      <c r="J93" s="121"/>
      <c r="L93" s="190">
        <f>L92-0.01</f>
        <v>0.25516740039140273</v>
      </c>
      <c r="M93" s="122">
        <v>5.9044043321622688</v>
      </c>
      <c r="N93" s="122">
        <v>6.0223055954582394</v>
      </c>
      <c r="O93" s="122">
        <v>6.1484194227198365</v>
      </c>
      <c r="P93" s="122">
        <v>6.2836348629118444</v>
      </c>
      <c r="Q93" s="122">
        <v>6.4289740939637747</v>
      </c>
    </row>
    <row r="94" spans="2:17" ht="15" customHeight="1" x14ac:dyDescent="0.25">
      <c r="B94" s="124" t="s">
        <v>91</v>
      </c>
      <c r="D94" s="191">
        <f>D93-0.01</f>
        <v>0.24516740039140272</v>
      </c>
      <c r="E94" s="120">
        <v>4.8452333240374186</v>
      </c>
      <c r="F94" s="120">
        <v>4.9435865484468158</v>
      </c>
      <c r="G94" s="120">
        <v>5.0487906930593338</v>
      </c>
      <c r="H94" s="120">
        <v>5.1615874024502721</v>
      </c>
      <c r="I94" s="120">
        <v>5.2828293773666539</v>
      </c>
      <c r="J94" s="121"/>
      <c r="L94" s="191">
        <f>L93-0.01</f>
        <v>0.24516740039140272</v>
      </c>
      <c r="M94" s="122">
        <v>5.9044043321622688</v>
      </c>
      <c r="N94" s="122">
        <v>6.0223055954582394</v>
      </c>
      <c r="O94" s="122">
        <v>6.1484194227198365</v>
      </c>
      <c r="P94" s="122">
        <v>6.2836348629118444</v>
      </c>
      <c r="Q94" s="122">
        <v>6.4289740939637747</v>
      </c>
    </row>
    <row r="95" spans="2:17" ht="15" customHeight="1" x14ac:dyDescent="0.25">
      <c r="B95" s="124" t="s">
        <v>92</v>
      </c>
      <c r="E95" s="125"/>
      <c r="F95" s="125"/>
      <c r="G95" s="125"/>
      <c r="H95" s="125"/>
      <c r="I95" s="125"/>
      <c r="J95" s="125"/>
    </row>
    <row r="96" spans="2:17" ht="17.25" customHeight="1" x14ac:dyDescent="0.4">
      <c r="B96" s="112"/>
      <c r="D96" s="113" t="s">
        <v>81</v>
      </c>
      <c r="E96" s="64"/>
      <c r="F96" s="64"/>
      <c r="G96" s="64"/>
      <c r="H96" s="64"/>
      <c r="I96" s="64"/>
      <c r="J96" s="114"/>
      <c r="L96" s="113" t="s">
        <v>88</v>
      </c>
      <c r="M96" s="64"/>
      <c r="N96" s="64"/>
      <c r="O96" s="64"/>
      <c r="P96" s="64"/>
      <c r="Q96" s="64"/>
    </row>
    <row r="97" spans="2:17" ht="15" customHeight="1" x14ac:dyDescent="0.25">
      <c r="B97" s="112"/>
      <c r="E97" s="115" t="s">
        <v>93</v>
      </c>
      <c r="F97" s="115"/>
      <c r="G97" s="115"/>
      <c r="H97" s="115"/>
      <c r="I97" s="115"/>
      <c r="J97" s="116"/>
      <c r="M97" s="115" t="s">
        <v>93</v>
      </c>
      <c r="N97" s="115"/>
      <c r="O97" s="115"/>
      <c r="P97" s="115"/>
      <c r="Q97" s="115"/>
    </row>
    <row r="98" spans="2:17" ht="15" customHeight="1" x14ac:dyDescent="0.25">
      <c r="B98" s="112"/>
      <c r="D98" s="159">
        <f>D72</f>
        <v>8.2200161234805567</v>
      </c>
      <c r="E98" s="160">
        <f>+F98-0.5</f>
        <v>8.1999999999999993</v>
      </c>
      <c r="F98" s="160">
        <f>+G98-0.5</f>
        <v>8.6999999999999993</v>
      </c>
      <c r="G98" s="126">
        <v>9.1999999999999993</v>
      </c>
      <c r="H98" s="160">
        <f>+G98+0.5</f>
        <v>9.6999999999999993</v>
      </c>
      <c r="I98" s="219">
        <f>+H98+0.5</f>
        <v>10.199999999999999</v>
      </c>
      <c r="J98" s="218"/>
      <c r="L98" s="119">
        <f>D77</f>
        <v>9.9499367261753715</v>
      </c>
      <c r="M98" s="160">
        <f>+N98-0.5</f>
        <v>8.1999999999999993</v>
      </c>
      <c r="N98" s="160">
        <f>+O98-0.5</f>
        <v>8.6999999999999993</v>
      </c>
      <c r="O98" s="126">
        <v>9.1999999999999993</v>
      </c>
      <c r="P98" s="160">
        <f>+O98+0.5</f>
        <v>9.6999999999999993</v>
      </c>
      <c r="Q98" s="219">
        <f>+P98+0.5</f>
        <v>10.199999999999999</v>
      </c>
    </row>
    <row r="99" spans="2:17" ht="15" customHeight="1" x14ac:dyDescent="0.25">
      <c r="B99" s="112"/>
      <c r="D99" s="190">
        <f>D100+0.01</f>
        <v>0.28516740039140276</v>
      </c>
      <c r="E99" s="120">
        <f t="dataTable" ref="E99:I103" dt2D="1" dtr="1" r1="I42" r2="H4"/>
        <v>7.5747736378555128</v>
      </c>
      <c r="F99" s="120">
        <v>7.8973948806680347</v>
      </c>
      <c r="G99" s="120">
        <v>8.2200161234805567</v>
      </c>
      <c r="H99" s="120">
        <v>8.5426373662930786</v>
      </c>
      <c r="I99" s="120">
        <v>8.8652586091056005</v>
      </c>
      <c r="J99" s="121"/>
      <c r="L99" s="190">
        <f>L100+0.01</f>
        <v>0.28516740039140276</v>
      </c>
      <c r="M99" s="122">
        <f t="dataTable" ref="M99:Q103" dt2D="1" dtr="1" r1="I42" r2="H4" ca="1"/>
        <v>9.1764500952667483</v>
      </c>
      <c r="N99" s="122">
        <v>9.563193410721059</v>
      </c>
      <c r="O99" s="122">
        <v>9.9499367261753715</v>
      </c>
      <c r="P99" s="122">
        <v>10.336680041629684</v>
      </c>
      <c r="Q99" s="122">
        <v>10.723423357083997</v>
      </c>
    </row>
    <row r="100" spans="2:17" ht="15" customHeight="1" x14ac:dyDescent="0.25">
      <c r="B100" s="112"/>
      <c r="D100" s="190">
        <f>D101+0.01</f>
        <v>0.27516740039140275</v>
      </c>
      <c r="E100" s="120">
        <v>7.5747736378555128</v>
      </c>
      <c r="F100" s="120">
        <v>7.8973948806680347</v>
      </c>
      <c r="G100" s="120">
        <v>8.2200161234805567</v>
      </c>
      <c r="H100" s="120">
        <v>8.5426373662930786</v>
      </c>
      <c r="I100" s="120">
        <v>8.8652586091056005</v>
      </c>
      <c r="J100" s="121"/>
      <c r="L100" s="190">
        <f>L101+0.01</f>
        <v>0.27516740039140275</v>
      </c>
      <c r="M100" s="122">
        <v>9.1764500952667483</v>
      </c>
      <c r="N100" s="122">
        <v>9.563193410721059</v>
      </c>
      <c r="O100" s="122">
        <v>9.9499367261753715</v>
      </c>
      <c r="P100" s="122">
        <v>10.336680041629684</v>
      </c>
      <c r="Q100" s="122">
        <v>10.723423357083997</v>
      </c>
    </row>
    <row r="101" spans="2:17" ht="15" customHeight="1" x14ac:dyDescent="0.25">
      <c r="B101" s="112"/>
      <c r="C101" s="117" t="s">
        <v>90</v>
      </c>
      <c r="D101" s="123">
        <v>0.26516740039140274</v>
      </c>
      <c r="E101" s="120">
        <v>7.5747736378555128</v>
      </c>
      <c r="F101" s="120">
        <v>7.8973948806680347</v>
      </c>
      <c r="G101" s="120">
        <v>8.2200161234805567</v>
      </c>
      <c r="H101" s="120">
        <v>8.5426373662930786</v>
      </c>
      <c r="I101" s="120">
        <v>8.8652586091056005</v>
      </c>
      <c r="J101" s="121"/>
      <c r="K101" s="117" t="s">
        <v>90</v>
      </c>
      <c r="L101" s="123">
        <v>0.26516740039140274</v>
      </c>
      <c r="M101" s="122">
        <v>9.1764500952667483</v>
      </c>
      <c r="N101" s="122">
        <v>9.563193410721059</v>
      </c>
      <c r="O101" s="122">
        <v>9.9499367261753715</v>
      </c>
      <c r="P101" s="122">
        <v>10.336680041629684</v>
      </c>
      <c r="Q101" s="122">
        <v>10.723423357083997</v>
      </c>
    </row>
    <row r="102" spans="2:17" ht="15" customHeight="1" x14ac:dyDescent="0.25">
      <c r="B102" s="112"/>
      <c r="D102" s="190">
        <f>D101-0.01</f>
        <v>0.25516740039140273</v>
      </c>
      <c r="E102" s="120">
        <v>7.5747736378555128</v>
      </c>
      <c r="F102" s="120">
        <v>7.8973948806680347</v>
      </c>
      <c r="G102" s="120">
        <v>8.2200161234805567</v>
      </c>
      <c r="H102" s="120">
        <v>8.5426373662930786</v>
      </c>
      <c r="I102" s="120">
        <v>8.8652586091056005</v>
      </c>
      <c r="J102" s="121"/>
      <c r="L102" s="190">
        <f>L101-0.01</f>
        <v>0.25516740039140273</v>
      </c>
      <c r="M102" s="122">
        <v>9.1764500952667483</v>
      </c>
      <c r="N102" s="122">
        <v>9.563193410721059</v>
      </c>
      <c r="O102" s="122">
        <v>9.9499367261753715</v>
      </c>
      <c r="P102" s="122">
        <v>10.336680041629684</v>
      </c>
      <c r="Q102" s="122">
        <v>10.723423357083997</v>
      </c>
    </row>
    <row r="103" spans="2:17" ht="15" customHeight="1" x14ac:dyDescent="0.25">
      <c r="B103" s="112"/>
      <c r="D103" s="191">
        <f>D102-0.01</f>
        <v>0.24516740039140272</v>
      </c>
      <c r="E103" s="120">
        <v>7.5747736378555128</v>
      </c>
      <c r="F103" s="120">
        <v>7.8973948806680347</v>
      </c>
      <c r="G103" s="120">
        <v>8.2200161234805567</v>
      </c>
      <c r="H103" s="120">
        <v>8.5426373662930786</v>
      </c>
      <c r="I103" s="120">
        <v>8.8652586091056005</v>
      </c>
      <c r="J103" s="121"/>
      <c r="L103" s="191">
        <f>L102-0.01</f>
        <v>0.24516740039140272</v>
      </c>
      <c r="M103" s="122">
        <v>9.1764500952667483</v>
      </c>
      <c r="N103" s="122">
        <v>9.563193410721059</v>
      </c>
      <c r="O103" s="122">
        <v>9.9499367261753715</v>
      </c>
      <c r="P103" s="122">
        <v>10.336680041629684</v>
      </c>
      <c r="Q103" s="122">
        <v>10.723423357083997</v>
      </c>
    </row>
    <row r="104" spans="2:17" x14ac:dyDescent="0.25">
      <c r="J104" s="127"/>
    </row>
    <row r="105" spans="2:17" x14ac:dyDescent="0.25">
      <c r="B105" s="128" t="s">
        <v>94</v>
      </c>
      <c r="C105" s="128"/>
      <c r="D105" s="128"/>
      <c r="E105" s="128"/>
      <c r="G105" s="128" t="s">
        <v>95</v>
      </c>
      <c r="H105" s="128"/>
      <c r="I105" s="128"/>
      <c r="J105" s="129"/>
      <c r="K105" s="128"/>
      <c r="L105" s="128"/>
      <c r="M105" s="128"/>
      <c r="N105" s="128"/>
      <c r="O105" s="128"/>
      <c r="P105" s="128"/>
    </row>
    <row r="106" spans="2:17" x14ac:dyDescent="0.25">
      <c r="J106" s="127"/>
    </row>
    <row r="107" spans="2:17" x14ac:dyDescent="0.25">
      <c r="J107" s="127"/>
    </row>
    <row r="108" spans="2:17" x14ac:dyDescent="0.25">
      <c r="J108" s="127"/>
    </row>
    <row r="109" spans="2:17" x14ac:dyDescent="0.25">
      <c r="J109" s="127"/>
    </row>
    <row r="110" spans="2:17" x14ac:dyDescent="0.25">
      <c r="J110" s="127"/>
    </row>
    <row r="111" spans="2:17" x14ac:dyDescent="0.25">
      <c r="J111" s="127"/>
    </row>
    <row r="112" spans="2:17" x14ac:dyDescent="0.25">
      <c r="J112" s="127"/>
    </row>
    <row r="113" spans="2:17" x14ac:dyDescent="0.25">
      <c r="J113" s="127"/>
    </row>
    <row r="114" spans="2:17" x14ac:dyDescent="0.25">
      <c r="J114" s="127"/>
    </row>
    <row r="115" spans="2:17" x14ac:dyDescent="0.25">
      <c r="J115" s="127"/>
    </row>
    <row r="116" spans="2:17" x14ac:dyDescent="0.25">
      <c r="J116" s="127"/>
    </row>
    <row r="117" spans="2:17" x14ac:dyDescent="0.25">
      <c r="J117" s="127"/>
    </row>
    <row r="118" spans="2:17" x14ac:dyDescent="0.25">
      <c r="J118" s="127"/>
    </row>
    <row r="119" spans="2:17" x14ac:dyDescent="0.25">
      <c r="J119" s="127"/>
      <c r="M119" s="130"/>
    </row>
    <row r="120" spans="2:17" x14ac:dyDescent="0.25">
      <c r="J120" s="127"/>
    </row>
    <row r="121" spans="2:17" x14ac:dyDescent="0.25">
      <c r="J121" s="127"/>
    </row>
    <row r="122" spans="2:17" x14ac:dyDescent="0.25">
      <c r="J122" s="127"/>
    </row>
    <row r="123" spans="2:17" x14ac:dyDescent="0.25">
      <c r="J123" s="127"/>
    </row>
    <row r="124" spans="2:17" x14ac:dyDescent="0.25">
      <c r="J124" s="127"/>
    </row>
    <row r="125" spans="2:17" x14ac:dyDescent="0.25">
      <c r="J125" s="127"/>
    </row>
    <row r="126" spans="2:17" x14ac:dyDescent="0.25">
      <c r="B126" s="131"/>
      <c r="C126" s="132" t="s">
        <v>96</v>
      </c>
      <c r="D126" s="132" t="s">
        <v>97</v>
      </c>
      <c r="E126" s="133" t="s">
        <v>98</v>
      </c>
      <c r="G126" s="131"/>
      <c r="H126" s="134"/>
      <c r="I126" s="134"/>
      <c r="J126" s="135"/>
      <c r="K126" s="134"/>
      <c r="L126" s="134"/>
      <c r="M126" s="134"/>
      <c r="N126" s="134"/>
      <c r="O126" s="132" t="s">
        <v>96</v>
      </c>
      <c r="P126" s="132" t="s">
        <v>97</v>
      </c>
      <c r="Q126" s="133" t="s">
        <v>98</v>
      </c>
    </row>
    <row r="127" spans="2:17" x14ac:dyDescent="0.25">
      <c r="B127" s="161" t="str">
        <f>"DCF Value at "&amp;TEXT(E98,"0.0x")&amp;"-"&amp;TEXT(I98,"0.0x")&amp;" Exit EBITDA Range at "&amp;TEXT(D101,"0.0%")&amp;" WACC"</f>
        <v>DCF Value at 8.2x-10.2x Exit EBITDA Range at 26.5% WACC</v>
      </c>
      <c r="C127" s="162">
        <f>E101</f>
        <v>7.5747736378555128</v>
      </c>
      <c r="D127" s="162">
        <f>E127-C127</f>
        <v>1.2904849712500877</v>
      </c>
      <c r="E127" s="163">
        <f>I101</f>
        <v>8.8652586091056005</v>
      </c>
      <c r="G127" s="161" t="str">
        <f>"LTM EBITDA Purchase Multiple at "&amp;TEXT(M89,"0.0%")&amp;"-"&amp;TEXT(Q89,"0.0%")&amp;" Perpetuity Growth at "&amp;TEXT(L92,"0.0%")&amp;" WACC"</f>
        <v>LTM EBITDA Purchase Multiple at 9.0%-11.0% Perpetuity Growth at 26.5% WACC</v>
      </c>
      <c r="J127" s="169"/>
      <c r="O127" s="170">
        <f>M92</f>
        <v>5.9044043321622688</v>
      </c>
      <c r="P127" s="170">
        <f>Q127-O127</f>
        <v>0.52456976180150594</v>
      </c>
      <c r="Q127" s="171">
        <f>Q92</f>
        <v>6.4289740939637747</v>
      </c>
    </row>
    <row r="128" spans="2:17" x14ac:dyDescent="0.25">
      <c r="B128" s="164" t="str">
        <f>"DCF Value at "&amp;TEXT(E89,"0.0%")&amp;"-"&amp;TEXT(I89,"0.0%")&amp;" Perpetuity Range at "&amp;TEXT(D101,"0.0%")&amp;" WACC"</f>
        <v>DCF Value at 9.0%-11.0% Perpetuity Range at 26.5% WACC</v>
      </c>
      <c r="C128" s="162">
        <f>E92</f>
        <v>4.8452333240374186</v>
      </c>
      <c r="D128" s="162">
        <f>E128-C128</f>
        <v>0.43759605332923535</v>
      </c>
      <c r="E128" s="163">
        <f>I92</f>
        <v>5.2828293773666539</v>
      </c>
      <c r="G128" s="164" t="str">
        <f>"LTM EBITDA Purchase Multiple at "&amp;TEXT(M101,"0.0x")&amp;"-"&amp;TEXT(Q101,"0.0x")&amp;" Exit EBITDA Multiple at "&amp;TEXT(L101,"0.0%")&amp;" WACC"</f>
        <v>LTM EBITDA Purchase Multiple at 9.2x-10.7x Exit EBITDA Multiple at 26.5% WACC</v>
      </c>
      <c r="J128" s="169"/>
      <c r="O128" s="170">
        <f>M101</f>
        <v>9.1764500952667483</v>
      </c>
      <c r="P128" s="170">
        <f>Q128-O128</f>
        <v>1.5469732618172483</v>
      </c>
      <c r="Q128" s="171">
        <f>Q101</f>
        <v>10.723423357083997</v>
      </c>
    </row>
    <row r="129" spans="2:17" x14ac:dyDescent="0.25">
      <c r="B129" s="165" t="s">
        <v>99</v>
      </c>
      <c r="C129" s="166">
        <v>0.25</v>
      </c>
      <c r="D129" s="167">
        <f>E129-C129</f>
        <v>18.899999999999999</v>
      </c>
      <c r="E129" s="168">
        <v>19.149999999999999</v>
      </c>
      <c r="G129" s="165" t="str">
        <f>"LTM EBITDA Purchase Multiple at "&amp;TEXT(L103,"0.0%")&amp;"-"&amp;TEXT(L99,"0.0%")&amp;" WACC at "&amp;TEXT(O98,"0.0x")&amp;" Exit EBITDA"</f>
        <v>LTM EBITDA Purchase Multiple at 24.5%-28.5% WACC at 9.2x Exit EBITDA</v>
      </c>
      <c r="H129" s="39"/>
      <c r="I129" s="39"/>
      <c r="J129" s="172"/>
      <c r="K129" s="39"/>
      <c r="L129" s="39"/>
      <c r="M129" s="39"/>
      <c r="N129" s="39"/>
      <c r="O129" s="167">
        <f>O99</f>
        <v>9.9499367261753715</v>
      </c>
      <c r="P129" s="167">
        <f>Q129-O129</f>
        <v>0</v>
      </c>
      <c r="Q129" s="173">
        <f>O103</f>
        <v>9.9499367261753715</v>
      </c>
    </row>
    <row r="130" spans="2:17" x14ac:dyDescent="0.25">
      <c r="J130" s="127"/>
    </row>
    <row r="131" spans="2:17" x14ac:dyDescent="0.25">
      <c r="J131" s="127"/>
    </row>
  </sheetData>
  <conditionalFormatting sqref="E90:J94 E99:J103">
    <cfRule type="cellIs" dxfId="4" priority="5" operator="lessThan">
      <formula>#REF!</formula>
    </cfRule>
  </conditionalFormatting>
  <conditionalFormatting sqref="I8">
    <cfRule type="expression" dxfId="3" priority="1">
      <formula>$I8="SELL"</formula>
    </cfRule>
    <cfRule type="expression" dxfId="2" priority="2">
      <formula>$I8="HOLD"</formula>
    </cfRule>
    <cfRule type="expression" dxfId="1" priority="3">
      <formula>$I8="BUY"</formula>
    </cfRule>
  </conditionalFormatting>
  <dataValidations count="1">
    <dataValidation type="list" allowBlank="1" showInputMessage="1" showErrorMessage="1" sqref="H9" xr:uid="{00000000-0002-0000-0100-000000000000}">
      <formula1>"0,1"</formula1>
    </dataValidation>
  </dataValidations>
  <pageMargins left="0.7" right="0.7" top="0.75" bottom="0.75" header="0.3" footer="0.3"/>
  <pageSetup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78"/>
  <sheetViews>
    <sheetView zoomScaleNormal="100" workbookViewId="0">
      <selection activeCell="B2" sqref="B2:J78"/>
    </sheetView>
  </sheetViews>
  <sheetFormatPr defaultColWidth="9.140625" defaultRowHeight="15" x14ac:dyDescent="0.25"/>
  <cols>
    <col min="1" max="1" width="1.42578125" style="50" customWidth="1"/>
    <col min="2" max="2" width="51.7109375" style="50" customWidth="1"/>
    <col min="3" max="3" width="15.5703125" style="50" bestFit="1" customWidth="1"/>
    <col min="4" max="4" width="12.7109375" style="50" customWidth="1"/>
    <col min="5" max="5" width="16.140625" style="50" bestFit="1" customWidth="1"/>
    <col min="6" max="6" width="14.5703125" style="50" bestFit="1" customWidth="1"/>
    <col min="7" max="8" width="13.5703125" style="50" bestFit="1" customWidth="1"/>
    <col min="9" max="10" width="12.7109375" style="50" customWidth="1"/>
    <col min="11" max="11" width="1.7109375" style="50" customWidth="1"/>
    <col min="12" max="16" width="9.42578125" style="50" customWidth="1"/>
    <col min="17" max="17" width="9.140625" style="50" customWidth="1"/>
    <col min="18" max="16384" width="9.140625" style="50"/>
  </cols>
  <sheetData>
    <row r="1" spans="2:9" ht="15.75" customHeight="1" thickBot="1" x14ac:dyDescent="0.3"/>
    <row r="2" spans="2:9" ht="15.75" customHeight="1" thickBot="1" x14ac:dyDescent="0.3">
      <c r="B2" s="51" t="s">
        <v>192</v>
      </c>
      <c r="C2" s="52"/>
      <c r="D2" s="52"/>
      <c r="E2" s="52"/>
      <c r="F2" s="52"/>
      <c r="G2" s="52"/>
      <c r="H2" s="52"/>
      <c r="I2" s="52"/>
    </row>
    <row r="3" spans="2:9" x14ac:dyDescent="0.25">
      <c r="B3" s="53" t="str">
        <f>DCF!B3</f>
        <v>All amounts are shown in EGP, except per-share data, ratios, and shares outstanding</v>
      </c>
    </row>
    <row r="4" spans="2:9" ht="15" customHeight="1" x14ac:dyDescent="0.25">
      <c r="B4" s="137" t="s">
        <v>193</v>
      </c>
      <c r="C4" s="138"/>
      <c r="D4" s="138"/>
      <c r="E4" s="139"/>
      <c r="F4" s="140"/>
    </row>
    <row r="5" spans="2:9" x14ac:dyDescent="0.25">
      <c r="E5" s="93"/>
    </row>
    <row r="6" spans="2:9" ht="15" customHeight="1" x14ac:dyDescent="0.25">
      <c r="B6" s="50" t="s">
        <v>194</v>
      </c>
      <c r="C6" s="339">
        <v>0.2</v>
      </c>
      <c r="D6" s="257"/>
    </row>
    <row r="7" spans="2:9" ht="15" customHeight="1" x14ac:dyDescent="0.25">
      <c r="B7" s="50" t="s">
        <v>24</v>
      </c>
      <c r="C7" s="252">
        <v>0.22500000000000001</v>
      </c>
    </row>
    <row r="8" spans="2:9" ht="15" customHeight="1" x14ac:dyDescent="0.25">
      <c r="B8" s="50" t="s">
        <v>195</v>
      </c>
      <c r="C8" s="143">
        <f>C6*(1-C7)</f>
        <v>0.15500000000000003</v>
      </c>
    </row>
    <row r="10" spans="2:9" x14ac:dyDescent="0.25">
      <c r="B10" s="50" t="s">
        <v>196</v>
      </c>
      <c r="C10" s="259">
        <v>0.23130000000000001</v>
      </c>
      <c r="D10" s="205"/>
      <c r="E10" s="205"/>
    </row>
    <row r="11" spans="2:9" x14ac:dyDescent="0.25">
      <c r="B11" s="50" t="s">
        <v>197</v>
      </c>
      <c r="C11" s="289">
        <f>IF(C32="Observed",(2/3)*C34+(1/3),C35)</f>
        <v>0.29172822485566124</v>
      </c>
    </row>
    <row r="12" spans="2:9" ht="15" customHeight="1" x14ac:dyDescent="0.25">
      <c r="B12" s="50" t="s">
        <v>198</v>
      </c>
      <c r="C12" s="144">
        <v>5.5E-2</v>
      </c>
      <c r="D12" s="205"/>
    </row>
    <row r="13" spans="2:9" x14ac:dyDescent="0.25">
      <c r="B13" s="50" t="s">
        <v>199</v>
      </c>
      <c r="C13" s="145">
        <f>C10+C11*(C12)</f>
        <v>0.24734505236706136</v>
      </c>
      <c r="D13" s="253"/>
    </row>
    <row r="14" spans="2:9" x14ac:dyDescent="0.25">
      <c r="C14" s="146"/>
    </row>
    <row r="15" spans="2:9" x14ac:dyDescent="0.25">
      <c r="B15" s="141" t="s">
        <v>200</v>
      </c>
      <c r="C15" s="147"/>
      <c r="D15" s="147"/>
      <c r="E15" s="147"/>
    </row>
    <row r="16" spans="2:9" x14ac:dyDescent="0.25">
      <c r="B16" s="71"/>
      <c r="C16" s="117"/>
      <c r="D16" s="117" t="s">
        <v>201</v>
      </c>
    </row>
    <row r="17" spans="2:6" ht="17.25" customHeight="1" x14ac:dyDescent="0.4">
      <c r="C17" s="148" t="s">
        <v>202</v>
      </c>
      <c r="D17" s="148" t="s">
        <v>203</v>
      </c>
      <c r="E17" s="148" t="s">
        <v>204</v>
      </c>
    </row>
    <row r="18" spans="2:6" x14ac:dyDescent="0.25">
      <c r="B18" s="50" t="s">
        <v>126</v>
      </c>
      <c r="C18" s="69">
        <f>DCF!I60*DCF!H5</f>
        <v>6812000000</v>
      </c>
      <c r="D18" s="149"/>
      <c r="E18" s="150">
        <f>C18/(C18+C19)</f>
        <v>0.95265946722300288</v>
      </c>
    </row>
    <row r="19" spans="2:6" x14ac:dyDescent="0.25">
      <c r="B19" s="50" t="s">
        <v>65</v>
      </c>
      <c r="C19" s="69">
        <f>DCF!C56</f>
        <v>338508901</v>
      </c>
      <c r="D19" s="151"/>
      <c r="E19" s="150">
        <f>C19/(C19+C18)</f>
        <v>4.7340532776997096E-2</v>
      </c>
    </row>
    <row r="21" spans="2:6" x14ac:dyDescent="0.25">
      <c r="B21" s="142" t="s">
        <v>205</v>
      </c>
      <c r="C21" s="152"/>
      <c r="D21" s="134"/>
      <c r="E21" s="153">
        <f>E18*C13+E19*C8</f>
        <v>0.24297338838868499</v>
      </c>
    </row>
    <row r="22" spans="2:6" x14ac:dyDescent="0.25">
      <c r="B22" s="70"/>
      <c r="C22" s="98"/>
    </row>
    <row r="23" spans="2:6" x14ac:dyDescent="0.25">
      <c r="B23" s="38" t="s">
        <v>206</v>
      </c>
      <c r="C23" s="39"/>
      <c r="D23" s="39"/>
      <c r="E23" s="39"/>
      <c r="F23" s="39"/>
    </row>
    <row r="24" spans="2:6" x14ac:dyDescent="0.25">
      <c r="D24" s="260" t="s">
        <v>207</v>
      </c>
      <c r="E24" s="261"/>
      <c r="F24" s="260"/>
    </row>
    <row r="25" spans="2:6" x14ac:dyDescent="0.25">
      <c r="C25" s="262">
        <f>E21</f>
        <v>0.24297338838868499</v>
      </c>
      <c r="D25" s="263">
        <f>E25-0.1</f>
        <v>0.57909162821522864</v>
      </c>
      <c r="E25" s="264">
        <v>0.67909162821522862</v>
      </c>
      <c r="F25" s="265">
        <f>E25+0.1</f>
        <v>0.77909162821522859</v>
      </c>
    </row>
    <row r="26" spans="2:6" x14ac:dyDescent="0.25">
      <c r="C26" s="266">
        <f>C27-0.005</f>
        <v>4.5000000000000005E-2</v>
      </c>
      <c r="D26" s="267">
        <f t="dataTable" ref="D26:F30" dt2D="1" dtr="1" r1="C11" r2="C12"/>
        <v>0.2525133878395121</v>
      </c>
      <c r="E26" s="268">
        <v>0.25680035544201557</v>
      </c>
      <c r="F26" s="268">
        <v>0.26108732304451909</v>
      </c>
    </row>
    <row r="27" spans="2:6" x14ac:dyDescent="0.25">
      <c r="B27" s="269" t="s">
        <v>208</v>
      </c>
      <c r="C27" s="266">
        <f>C28-0.005</f>
        <v>0.05</v>
      </c>
      <c r="D27" s="268">
        <v>0.25527177344955615</v>
      </c>
      <c r="E27" s="268">
        <v>0.26003507078567117</v>
      </c>
      <c r="F27" s="268">
        <v>0.2647983681217862</v>
      </c>
    </row>
    <row r="28" spans="2:6" x14ac:dyDescent="0.25">
      <c r="B28" s="269" t="s">
        <v>209</v>
      </c>
      <c r="C28" s="270">
        <v>5.5E-2</v>
      </c>
      <c r="D28" s="268">
        <v>0.25803015905960025</v>
      </c>
      <c r="E28" s="268">
        <v>0.26326978612932678</v>
      </c>
      <c r="F28" s="268">
        <v>0.2685094131990533</v>
      </c>
    </row>
    <row r="29" spans="2:6" x14ac:dyDescent="0.25">
      <c r="B29" s="269" t="s">
        <v>210</v>
      </c>
      <c r="C29" s="266">
        <f>C28+0.005</f>
        <v>0.06</v>
      </c>
      <c r="D29" s="268">
        <v>0.26078854466964441</v>
      </c>
      <c r="E29" s="268">
        <v>0.26650450147298244</v>
      </c>
      <c r="F29" s="268">
        <v>0.27222045827632041</v>
      </c>
    </row>
    <row r="30" spans="2:6" x14ac:dyDescent="0.25">
      <c r="C30" s="266">
        <f>C29+0.005</f>
        <v>6.5000000000000002E-2</v>
      </c>
      <c r="D30" s="268">
        <v>0.26354693027968845</v>
      </c>
      <c r="E30" s="268">
        <v>0.26973921681663798</v>
      </c>
      <c r="F30" s="268">
        <v>0.27593150335358752</v>
      </c>
    </row>
    <row r="31" spans="2:6" x14ac:dyDescent="0.25">
      <c r="C31" s="271"/>
      <c r="D31" s="268"/>
      <c r="E31" s="268"/>
      <c r="F31" s="268"/>
    </row>
    <row r="32" spans="2:6" x14ac:dyDescent="0.25">
      <c r="B32" t="s">
        <v>211</v>
      </c>
      <c r="C32" s="272" t="s">
        <v>278</v>
      </c>
    </row>
    <row r="34" spans="2:9" x14ac:dyDescent="0.25">
      <c r="B34" s="273" t="s">
        <v>212</v>
      </c>
      <c r="C34" s="280">
        <v>1.18</v>
      </c>
    </row>
    <row r="35" spans="2:9" x14ac:dyDescent="0.25">
      <c r="B35" s="273" t="s">
        <v>213</v>
      </c>
      <c r="C35" s="280">
        <f>C47</f>
        <v>0.29172822485566124</v>
      </c>
    </row>
    <row r="37" spans="2:9" x14ac:dyDescent="0.25">
      <c r="B37" s="38" t="s">
        <v>213</v>
      </c>
      <c r="C37" s="38"/>
      <c r="D37" s="39"/>
      <c r="E37" s="39"/>
      <c r="F37" s="39"/>
      <c r="G37" s="39"/>
      <c r="H37" s="39"/>
      <c r="I37" s="39"/>
    </row>
    <row r="38" spans="2:9" x14ac:dyDescent="0.25">
      <c r="H38" s="275"/>
    </row>
    <row r="39" spans="2:9" ht="15.75" customHeight="1" thickBot="1" x14ac:dyDescent="0.3">
      <c r="C39" s="276" t="s">
        <v>214</v>
      </c>
      <c r="D39" s="276" t="s">
        <v>215</v>
      </c>
      <c r="E39" s="276" t="s">
        <v>216</v>
      </c>
      <c r="F39" s="276" t="s">
        <v>217</v>
      </c>
      <c r="G39" s="277" t="s">
        <v>218</v>
      </c>
      <c r="H39" s="276" t="s">
        <v>24</v>
      </c>
      <c r="I39" s="276" t="s">
        <v>219</v>
      </c>
    </row>
    <row r="40" spans="2:9" x14ac:dyDescent="0.25">
      <c r="B40" s="320" t="s">
        <v>357</v>
      </c>
      <c r="C40" s="281">
        <v>0.23</v>
      </c>
      <c r="D40" s="281">
        <v>27.33</v>
      </c>
      <c r="E40" s="281">
        <v>1176756353</v>
      </c>
      <c r="F40" s="342">
        <f>E40*D40</f>
        <v>32160751127.489998</v>
      </c>
      <c r="G40" s="340">
        <v>5522542793</v>
      </c>
      <c r="H40" s="282">
        <v>0.22500000000000001</v>
      </c>
      <c r="I40" s="162">
        <f>C40/(1+(1-H40)*(G40/F40))</f>
        <v>0.20298645020070369</v>
      </c>
    </row>
    <row r="41" spans="2:9" x14ac:dyDescent="0.25">
      <c r="B41" s="320" t="s">
        <v>358</v>
      </c>
      <c r="C41" s="281">
        <v>0.26</v>
      </c>
      <c r="D41" s="281">
        <v>21.33</v>
      </c>
      <c r="E41" s="281">
        <v>1400027312</v>
      </c>
      <c r="F41" s="342">
        <f t="shared" ref="F41:F43" si="0">E41*D41</f>
        <v>29862582564.959999</v>
      </c>
      <c r="G41" s="340">
        <v>627731652</v>
      </c>
      <c r="H41" s="282">
        <v>0.22500000000000001</v>
      </c>
      <c r="I41" s="162">
        <f t="shared" ref="I41:I43" si="1">C41/(1+(1-H41)*(G41/F41))</f>
        <v>0.25583223114494058</v>
      </c>
    </row>
    <row r="42" spans="2:9" x14ac:dyDescent="0.25">
      <c r="B42" s="320" t="s">
        <v>359</v>
      </c>
      <c r="C42" s="281">
        <v>0.46</v>
      </c>
      <c r="D42" s="281">
        <v>1.3</v>
      </c>
      <c r="E42" s="281">
        <v>3600000000</v>
      </c>
      <c r="F42" s="342">
        <f t="shared" si="0"/>
        <v>4680000000</v>
      </c>
      <c r="G42" s="340">
        <v>233138000</v>
      </c>
      <c r="H42" s="282">
        <v>0.09</v>
      </c>
      <c r="I42" s="162">
        <f t="shared" si="1"/>
        <v>0.4400514179886324</v>
      </c>
    </row>
    <row r="43" spans="2:9" x14ac:dyDescent="0.25">
      <c r="B43" s="50" t="s">
        <v>360</v>
      </c>
      <c r="C43" s="281">
        <v>0.37</v>
      </c>
      <c r="D43" s="281">
        <v>4.6500000000000004</v>
      </c>
      <c r="E43" s="281">
        <v>1143000000</v>
      </c>
      <c r="F43" s="342">
        <f t="shared" si="0"/>
        <v>5314950000</v>
      </c>
      <c r="G43" s="341">
        <v>2674660774</v>
      </c>
      <c r="H43" s="282">
        <v>0.2</v>
      </c>
      <c r="I43" s="162">
        <f t="shared" si="1"/>
        <v>0.26379829372322944</v>
      </c>
    </row>
    <row r="44" spans="2:9" x14ac:dyDescent="0.25">
      <c r="B44" s="50" t="s">
        <v>281</v>
      </c>
      <c r="C44" s="281">
        <v>1.18</v>
      </c>
      <c r="D44" s="281">
        <v>17.03</v>
      </c>
      <c r="E44" s="281">
        <v>400000000</v>
      </c>
      <c r="F44" s="342">
        <f>E44*D44</f>
        <v>6812000000</v>
      </c>
      <c r="G44" s="341">
        <f>DCF!C64</f>
        <v>32088119</v>
      </c>
      <c r="H44" s="282">
        <v>0.22500000000000001</v>
      </c>
      <c r="I44" s="162"/>
    </row>
    <row r="45" spans="2:9" x14ac:dyDescent="0.25">
      <c r="C45" s="274"/>
      <c r="F45" s="278"/>
      <c r="G45" s="278"/>
      <c r="H45" s="278"/>
      <c r="I45" s="279"/>
    </row>
    <row r="46" spans="2:9" x14ac:dyDescent="0.25">
      <c r="B46" t="s">
        <v>220</v>
      </c>
      <c r="C46" s="162">
        <f>AVERAGE(I40:I43)</f>
        <v>0.29066709826437653</v>
      </c>
    </row>
    <row r="47" spans="2:9" x14ac:dyDescent="0.25">
      <c r="B47" s="220" t="str">
        <f>FSM!Company_Name&amp;" beta"</f>
        <v>Gourmet Egypt beta</v>
      </c>
      <c r="C47" s="283">
        <f>C46*(1+(1-H44)*(G44/F44))</f>
        <v>0.29172822485566124</v>
      </c>
    </row>
    <row r="49" spans="2:8" x14ac:dyDescent="0.25">
      <c r="B49" s="38" t="s">
        <v>386</v>
      </c>
      <c r="C49" s="239"/>
      <c r="D49" s="45"/>
      <c r="E49" s="45"/>
      <c r="F49" s="39"/>
      <c r="G49" s="39"/>
      <c r="H49" s="39"/>
    </row>
    <row r="50" spans="2:8" x14ac:dyDescent="0.25">
      <c r="B50" t="s">
        <v>107</v>
      </c>
      <c r="C50" s="40">
        <f>FSM!F$13</f>
        <v>2025</v>
      </c>
      <c r="D50" s="41">
        <f>FSM!G$13</f>
        <v>2026</v>
      </c>
      <c r="E50" s="41">
        <f>FSM!H$13</f>
        <v>2027</v>
      </c>
      <c r="F50" s="41">
        <f>FSM!I$13</f>
        <v>2028</v>
      </c>
      <c r="G50" s="41">
        <f>FSM!J$13</f>
        <v>2029</v>
      </c>
      <c r="H50" s="41">
        <f>FSM!K$13</f>
        <v>2030</v>
      </c>
    </row>
    <row r="51" spans="2:8" x14ac:dyDescent="0.25">
      <c r="B51" s="42" t="s">
        <v>108</v>
      </c>
      <c r="C51" s="238">
        <f>FSM!F$14</f>
        <v>46022</v>
      </c>
      <c r="D51" s="238">
        <f>FSM!G$14</f>
        <v>46387</v>
      </c>
      <c r="E51" s="238">
        <f>FSM!H$14</f>
        <v>46752</v>
      </c>
      <c r="F51" s="238">
        <f>FSM!I$14</f>
        <v>47118</v>
      </c>
      <c r="G51" s="238">
        <f>FSM!J$14</f>
        <v>47483</v>
      </c>
      <c r="H51" s="238">
        <f>FSM!K$14</f>
        <v>47848</v>
      </c>
    </row>
    <row r="52" spans="2:8" x14ac:dyDescent="0.25">
      <c r="B52" s="351"/>
      <c r="C52" s="351"/>
      <c r="D52" s="351"/>
      <c r="E52" s="351"/>
      <c r="F52" s="351"/>
      <c r="G52" s="351"/>
      <c r="H52" s="351"/>
    </row>
    <row r="53" spans="2:8" x14ac:dyDescent="0.25">
      <c r="B53" s="351" t="s">
        <v>378</v>
      </c>
      <c r="C53" s="351"/>
      <c r="D53" s="351"/>
      <c r="E53" s="351"/>
      <c r="F53" s="351"/>
      <c r="G53" s="351"/>
      <c r="H53" s="351"/>
    </row>
    <row r="54" spans="2:8" x14ac:dyDescent="0.25">
      <c r="B54" s="351"/>
      <c r="C54" s="351"/>
      <c r="D54" s="351"/>
      <c r="E54" s="351"/>
      <c r="F54" s="351"/>
      <c r="G54" s="351"/>
      <c r="H54" s="351"/>
    </row>
    <row r="55" spans="2:8" x14ac:dyDescent="0.25">
      <c r="B55" s="350" t="s">
        <v>376</v>
      </c>
      <c r="C55" s="361">
        <f>$C$47</f>
        <v>0.29172822485566124</v>
      </c>
      <c r="D55" s="361">
        <f t="shared" ref="D55:H55" si="2">$C$47</f>
        <v>0.29172822485566124</v>
      </c>
      <c r="E55" s="361">
        <f t="shared" si="2"/>
        <v>0.29172822485566124</v>
      </c>
      <c r="F55" s="361">
        <f t="shared" si="2"/>
        <v>0.29172822485566124</v>
      </c>
      <c r="G55" s="361">
        <f t="shared" si="2"/>
        <v>0.29172822485566124</v>
      </c>
      <c r="H55" s="361">
        <f t="shared" si="2"/>
        <v>0.29172822485566124</v>
      </c>
    </row>
    <row r="56" spans="2:8" x14ac:dyDescent="0.25">
      <c r="B56" s="350" t="s">
        <v>373</v>
      </c>
      <c r="C56" s="99">
        <f>FSM!F93+FSM!F94+FSM!F95+FSM!F103+FSM!F104+FSM!F105</f>
        <v>215342632</v>
      </c>
      <c r="D56" s="99">
        <f>FSM!G93+FSM!G94+FSM!G95+FSM!G103+FSM!G104+FSM!G105</f>
        <v>209454756.11388403</v>
      </c>
      <c r="E56" s="99">
        <f>FSM!H93+FSM!H94+FSM!H95+FSM!H103+FSM!H104+FSM!H105</f>
        <v>215273442.04500467</v>
      </c>
      <c r="F56" s="99">
        <f>FSM!I93+FSM!I94+FSM!I95+FSM!I103+FSM!I104+FSM!I105</f>
        <v>229709801.4568519</v>
      </c>
      <c r="G56" s="99">
        <f>FSM!J93+FSM!J94+FSM!J95+FSM!J103+FSM!J104+FSM!J105</f>
        <v>246147980.63834924</v>
      </c>
      <c r="H56" s="99">
        <f>FSM!K93+FSM!K94+FSM!K95+FSM!K103+FSM!K104+FSM!K105</f>
        <v>265565572.51171526</v>
      </c>
    </row>
    <row r="57" spans="2:8" x14ac:dyDescent="0.25">
      <c r="B57" s="350" t="s">
        <v>374</v>
      </c>
      <c r="C57" s="99">
        <f>FSM!F118</f>
        <v>274599160</v>
      </c>
      <c r="D57" s="99">
        <f>FSM!G118</f>
        <v>426572008.068838</v>
      </c>
      <c r="E57" s="99">
        <f>FSM!H118</f>
        <v>587173587.79652369</v>
      </c>
      <c r="F57" s="99">
        <f>FSM!I118</f>
        <v>761265487.0528059</v>
      </c>
      <c r="G57" s="99">
        <f>FSM!J118</f>
        <v>947234228.58070195</v>
      </c>
      <c r="H57" s="99">
        <f>FSM!K118</f>
        <v>1151848758.9813886</v>
      </c>
    </row>
    <row r="58" spans="2:8" x14ac:dyDescent="0.25">
      <c r="B58" s="350" t="s">
        <v>375</v>
      </c>
      <c r="C58" s="205">
        <f>$E$19/$E$18</f>
        <v>4.9693027157956544E-2</v>
      </c>
      <c r="D58" s="205">
        <f t="shared" ref="D58:H58" si="3">$E$19/$E$18</f>
        <v>4.9693027157956544E-2</v>
      </c>
      <c r="E58" s="205">
        <f t="shared" si="3"/>
        <v>4.9693027157956544E-2</v>
      </c>
      <c r="F58" s="205">
        <f t="shared" si="3"/>
        <v>4.9693027157956544E-2</v>
      </c>
      <c r="G58" s="205">
        <f t="shared" si="3"/>
        <v>4.9693027157956544E-2</v>
      </c>
      <c r="H58" s="205">
        <f t="shared" si="3"/>
        <v>4.9693027157956544E-2</v>
      </c>
    </row>
    <row r="59" spans="2:8" x14ac:dyDescent="0.25">
      <c r="B59" s="350" t="s">
        <v>24</v>
      </c>
      <c r="C59" s="352">
        <v>0.22500000000000001</v>
      </c>
      <c r="D59" s="352">
        <v>0.22500000000000001</v>
      </c>
      <c r="E59" s="352">
        <v>0.22500000000000001</v>
      </c>
      <c r="F59" s="352">
        <v>0.22500000000000001</v>
      </c>
      <c r="G59" s="352">
        <v>0.22500000000000001</v>
      </c>
      <c r="H59" s="352">
        <v>0.22500000000000001</v>
      </c>
    </row>
    <row r="60" spans="2:8" x14ac:dyDescent="0.25">
      <c r="B60" s="350" t="s">
        <v>377</v>
      </c>
      <c r="C60" s="361">
        <f>C55*(1+(1-C59)*(C58))</f>
        <v>0.30296329027104474</v>
      </c>
      <c r="D60" s="361">
        <f t="shared" ref="D60:H60" si="4">D55*(1+(1-D59)*(D58))</f>
        <v>0.30296329027104474</v>
      </c>
      <c r="E60" s="361">
        <f t="shared" si="4"/>
        <v>0.30296329027104474</v>
      </c>
      <c r="F60" s="361">
        <f t="shared" si="4"/>
        <v>0.30296329027104474</v>
      </c>
      <c r="G60" s="361">
        <f t="shared" si="4"/>
        <v>0.30296329027104474</v>
      </c>
      <c r="H60" s="361">
        <f t="shared" si="4"/>
        <v>0.30296329027104474</v>
      </c>
    </row>
    <row r="62" spans="2:8" s="71" customFormat="1" x14ac:dyDescent="0.25">
      <c r="B62" s="71" t="s">
        <v>387</v>
      </c>
    </row>
    <row r="64" spans="2:8" x14ac:dyDescent="0.25">
      <c r="B64" s="50" t="s">
        <v>379</v>
      </c>
      <c r="C64" s="353">
        <f>C10</f>
        <v>0.23130000000000001</v>
      </c>
      <c r="D64" s="353">
        <f>C64</f>
        <v>0.23130000000000001</v>
      </c>
      <c r="E64" s="353">
        <f t="shared" ref="E64:H64" si="5">D64</f>
        <v>0.23130000000000001</v>
      </c>
      <c r="F64" s="353">
        <f t="shared" si="5"/>
        <v>0.23130000000000001</v>
      </c>
      <c r="G64" s="353">
        <f t="shared" si="5"/>
        <v>0.23130000000000001</v>
      </c>
      <c r="H64" s="353">
        <f t="shared" si="5"/>
        <v>0.23130000000000001</v>
      </c>
    </row>
    <row r="65" spans="2:8" x14ac:dyDescent="0.25">
      <c r="B65" s="50" t="s">
        <v>380</v>
      </c>
      <c r="C65" s="353">
        <f>C12</f>
        <v>5.5E-2</v>
      </c>
      <c r="D65" s="353">
        <f>C65</f>
        <v>5.5E-2</v>
      </c>
      <c r="E65" s="353">
        <f t="shared" ref="E65:H65" si="6">D65</f>
        <v>5.5E-2</v>
      </c>
      <c r="F65" s="353">
        <f t="shared" si="6"/>
        <v>5.5E-2</v>
      </c>
      <c r="G65" s="353">
        <f t="shared" si="6"/>
        <v>5.5E-2</v>
      </c>
      <c r="H65" s="353">
        <f t="shared" si="6"/>
        <v>5.5E-2</v>
      </c>
    </row>
    <row r="66" spans="2:8" s="71" customFormat="1" x14ac:dyDescent="0.25">
      <c r="B66" s="71" t="s">
        <v>388</v>
      </c>
      <c r="C66" s="356">
        <f>C64+C60*(C65)</f>
        <v>0.24796298096490746</v>
      </c>
      <c r="D66" s="356">
        <f t="shared" ref="D66:H66" si="7">D64+D60*(D65)</f>
        <v>0.24796298096490746</v>
      </c>
      <c r="E66" s="356">
        <f t="shared" si="7"/>
        <v>0.24796298096490746</v>
      </c>
      <c r="F66" s="356">
        <f t="shared" si="7"/>
        <v>0.24796298096490746</v>
      </c>
      <c r="G66" s="356">
        <f t="shared" si="7"/>
        <v>0.24796298096490746</v>
      </c>
      <c r="H66" s="356">
        <f t="shared" si="7"/>
        <v>0.24796298096490746</v>
      </c>
    </row>
    <row r="68" spans="2:8" s="71" customFormat="1" x14ac:dyDescent="0.25">
      <c r="B68" s="71" t="s">
        <v>382</v>
      </c>
    </row>
    <row r="70" spans="2:8" x14ac:dyDescent="0.25">
      <c r="B70" s="355" t="s">
        <v>384</v>
      </c>
      <c r="C70" s="89">
        <f>C6</f>
        <v>0.2</v>
      </c>
      <c r="D70" s="89">
        <f>C70</f>
        <v>0.2</v>
      </c>
      <c r="E70" s="89">
        <f t="shared" ref="E70:H70" si="8">D70</f>
        <v>0.2</v>
      </c>
      <c r="F70" s="89">
        <f t="shared" si="8"/>
        <v>0.2</v>
      </c>
      <c r="G70" s="89">
        <f t="shared" si="8"/>
        <v>0.2</v>
      </c>
      <c r="H70" s="89">
        <f t="shared" si="8"/>
        <v>0.2</v>
      </c>
    </row>
    <row r="71" spans="2:8" s="71" customFormat="1" x14ac:dyDescent="0.25">
      <c r="B71" s="71" t="s">
        <v>383</v>
      </c>
      <c r="C71" s="356">
        <f>C70*(1-C59)</f>
        <v>0.15500000000000003</v>
      </c>
      <c r="D71" s="356">
        <f t="shared" ref="D71:H71" si="9">D70*(1-D59)</f>
        <v>0.15500000000000003</v>
      </c>
      <c r="E71" s="356">
        <f t="shared" si="9"/>
        <v>0.15500000000000003</v>
      </c>
      <c r="F71" s="356">
        <f t="shared" si="9"/>
        <v>0.15500000000000003</v>
      </c>
      <c r="G71" s="356">
        <f t="shared" si="9"/>
        <v>0.15500000000000003</v>
      </c>
      <c r="H71" s="356">
        <f t="shared" si="9"/>
        <v>0.15500000000000003</v>
      </c>
    </row>
    <row r="73" spans="2:8" s="71" customFormat="1" x14ac:dyDescent="0.25">
      <c r="B73" s="71" t="s">
        <v>381</v>
      </c>
    </row>
    <row r="75" spans="2:8" x14ac:dyDescent="0.25">
      <c r="B75" s="50" t="s">
        <v>396</v>
      </c>
      <c r="C75" s="1">
        <f>$E$18</f>
        <v>0.95265946722300288</v>
      </c>
      <c r="D75" s="1">
        <f>$E$18</f>
        <v>0.95265946722300288</v>
      </c>
      <c r="E75" s="1">
        <f>D75</f>
        <v>0.95265946722300288</v>
      </c>
      <c r="F75" s="1">
        <f t="shared" ref="F75:H75" si="10">E75</f>
        <v>0.95265946722300288</v>
      </c>
      <c r="G75" s="1">
        <f t="shared" si="10"/>
        <v>0.95265946722300288</v>
      </c>
      <c r="H75" s="1">
        <f t="shared" si="10"/>
        <v>0.95265946722300288</v>
      </c>
    </row>
    <row r="76" spans="2:8" x14ac:dyDescent="0.25">
      <c r="B76" s="50" t="s">
        <v>397</v>
      </c>
      <c r="C76" s="1">
        <f>$E$19</f>
        <v>4.7340532776997096E-2</v>
      </c>
      <c r="D76" s="1">
        <f>$E$19</f>
        <v>4.7340532776997096E-2</v>
      </c>
      <c r="E76" s="1">
        <f>D76</f>
        <v>4.7340532776997096E-2</v>
      </c>
      <c r="F76" s="1">
        <f t="shared" ref="F76:H76" si="11">E76</f>
        <v>4.7340532776997096E-2</v>
      </c>
      <c r="G76" s="1">
        <f t="shared" si="11"/>
        <v>4.7340532776997096E-2</v>
      </c>
      <c r="H76" s="1">
        <f t="shared" si="11"/>
        <v>4.7340532776997096E-2</v>
      </c>
    </row>
    <row r="78" spans="2:8" s="71" customFormat="1" x14ac:dyDescent="0.25">
      <c r="B78" s="71" t="s">
        <v>385</v>
      </c>
      <c r="C78" s="356">
        <f>C75*C66+C76*C71</f>
        <v>0.24356206391749088</v>
      </c>
      <c r="D78" s="356">
        <f>D75*D66+D76*D71</f>
        <v>0.24356206391749088</v>
      </c>
      <c r="E78" s="356">
        <f t="shared" ref="E78:H78" si="12">E75*E66+E76*E71</f>
        <v>0.24356206391749088</v>
      </c>
      <c r="F78" s="356">
        <f t="shared" si="12"/>
        <v>0.24356206391749088</v>
      </c>
      <c r="G78" s="356">
        <f t="shared" si="12"/>
        <v>0.24356206391749088</v>
      </c>
      <c r="H78" s="356">
        <f t="shared" si="12"/>
        <v>0.24356206391749088</v>
      </c>
    </row>
  </sheetData>
  <conditionalFormatting sqref="B22:C24">
    <cfRule type="expression" dxfId="0" priority="1">
      <formula>#REF!="Industry"</formula>
    </cfRule>
  </conditionalFormatting>
  <dataValidations disablePrompts="1" count="1">
    <dataValidation type="list" allowBlank="1" showInputMessage="1" showErrorMessage="1" sqref="C32" xr:uid="{00000000-0002-0000-0200-000000000000}">
      <formula1>"Industry, Observed"</formula1>
    </dataValidation>
  </dataValidations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CE90-F6E2-454D-A2F3-2AF81EFF437C}">
  <dimension ref="B1:I73"/>
  <sheetViews>
    <sheetView showGridLines="0" topLeftCell="A9" zoomScaleNormal="100" workbookViewId="0">
      <selection activeCell="B2" sqref="B2:G73"/>
    </sheetView>
  </sheetViews>
  <sheetFormatPr defaultRowHeight="15" x14ac:dyDescent="0.25"/>
  <cols>
    <col min="1" max="1" width="2" style="6" customWidth="1"/>
    <col min="2" max="2" width="38" style="6" customWidth="1"/>
    <col min="3" max="7" width="16" style="6" customWidth="1"/>
    <col min="8" max="8" width="2" style="6" customWidth="1"/>
    <col min="9" max="9" width="46" style="6" customWidth="1"/>
    <col min="10" max="16384" width="9.140625" style="6"/>
  </cols>
  <sheetData>
    <row r="1" spans="2:9" ht="15.75" thickBot="1" x14ac:dyDescent="0.3"/>
    <row r="2" spans="2:9" s="305" customFormat="1" ht="15.75" customHeight="1" thickBot="1" x14ac:dyDescent="0.3">
      <c r="B2" s="303" t="s">
        <v>234</v>
      </c>
      <c r="C2" s="304"/>
    </row>
    <row r="3" spans="2:9" x14ac:dyDescent="0.25">
      <c r="B3" s="306"/>
    </row>
    <row r="4" spans="2:9" x14ac:dyDescent="0.25">
      <c r="B4" s="44" t="s">
        <v>235</v>
      </c>
      <c r="C4" s="307">
        <v>46274</v>
      </c>
      <c r="I4" s="306"/>
    </row>
    <row r="6" spans="2:9" x14ac:dyDescent="0.25">
      <c r="B6" s="308" t="s">
        <v>236</v>
      </c>
      <c r="C6" s="309"/>
      <c r="D6" s="309"/>
      <c r="E6" s="309"/>
      <c r="F6" s="309"/>
      <c r="G6" s="309"/>
    </row>
    <row r="7" spans="2:9" x14ac:dyDescent="0.25">
      <c r="B7" s="35" t="s">
        <v>102</v>
      </c>
      <c r="C7" s="345" t="s">
        <v>361</v>
      </c>
      <c r="D7" s="345" t="s">
        <v>362</v>
      </c>
      <c r="E7" s="345" t="s">
        <v>363</v>
      </c>
      <c r="F7" s="345" t="s">
        <v>364</v>
      </c>
      <c r="G7" s="345" t="s">
        <v>282</v>
      </c>
    </row>
    <row r="8" spans="2:9" x14ac:dyDescent="0.25">
      <c r="B8" s="35" t="s">
        <v>237</v>
      </c>
      <c r="C8" s="346" t="s">
        <v>365</v>
      </c>
      <c r="D8" s="346" t="s">
        <v>366</v>
      </c>
      <c r="E8" s="346" t="s">
        <v>367</v>
      </c>
      <c r="F8" s="346" t="s">
        <v>368</v>
      </c>
      <c r="G8" s="346" t="s">
        <v>372</v>
      </c>
    </row>
    <row r="9" spans="2:9" x14ac:dyDescent="0.25">
      <c r="B9" s="35" t="s">
        <v>238</v>
      </c>
      <c r="C9" s="345" t="s">
        <v>369</v>
      </c>
      <c r="D9" s="345" t="s">
        <v>369</v>
      </c>
      <c r="E9" s="345" t="s">
        <v>370</v>
      </c>
      <c r="F9" s="345" t="s">
        <v>371</v>
      </c>
      <c r="G9" s="345" t="s">
        <v>369</v>
      </c>
    </row>
    <row r="10" spans="2:9" x14ac:dyDescent="0.25">
      <c r="B10" s="35" t="s">
        <v>239</v>
      </c>
      <c r="C10" s="347">
        <v>46387</v>
      </c>
      <c r="D10" s="347">
        <v>46387</v>
      </c>
      <c r="E10" s="347">
        <v>46387</v>
      </c>
      <c r="F10" s="347">
        <v>46387</v>
      </c>
      <c r="G10" s="347">
        <v>46387</v>
      </c>
    </row>
    <row r="11" spans="2:9" x14ac:dyDescent="0.25">
      <c r="B11" s="35" t="s">
        <v>240</v>
      </c>
      <c r="C11" s="348">
        <v>27.33</v>
      </c>
      <c r="D11" s="348">
        <v>21.33</v>
      </c>
      <c r="E11" s="348">
        <v>1.3</v>
      </c>
      <c r="F11" s="348">
        <v>4.6500000000000004</v>
      </c>
      <c r="G11" s="348">
        <v>17.03</v>
      </c>
      <c r="I11" s="306"/>
    </row>
    <row r="12" spans="2:9" x14ac:dyDescent="0.25">
      <c r="B12" s="306" t="s">
        <v>241</v>
      </c>
      <c r="C12" s="310">
        <v>46213</v>
      </c>
      <c r="D12" s="310">
        <v>46213</v>
      </c>
      <c r="E12" s="310">
        <v>46213</v>
      </c>
      <c r="F12" s="310">
        <v>46213</v>
      </c>
      <c r="G12" s="349">
        <v>46274</v>
      </c>
    </row>
    <row r="14" spans="2:9" x14ac:dyDescent="0.25">
      <c r="B14" s="308" t="s">
        <v>242</v>
      </c>
      <c r="C14" s="309"/>
      <c r="D14" s="309"/>
      <c r="E14" s="309"/>
      <c r="F14" s="309"/>
      <c r="G14" s="309"/>
    </row>
    <row r="15" spans="2:9" x14ac:dyDescent="0.25">
      <c r="B15" s="35" t="s">
        <v>243</v>
      </c>
      <c r="C15" s="344">
        <v>1176756353</v>
      </c>
      <c r="D15" s="344">
        <v>1400027312</v>
      </c>
      <c r="E15" s="344">
        <v>3600000000</v>
      </c>
      <c r="F15" s="344">
        <v>1143000000</v>
      </c>
      <c r="G15" s="311">
        <f>FSM!D10</f>
        <v>400000000</v>
      </c>
    </row>
    <row r="16" spans="2:9" x14ac:dyDescent="0.25">
      <c r="B16" s="35" t="s">
        <v>244</v>
      </c>
      <c r="C16" s="344">
        <v>0</v>
      </c>
      <c r="D16" s="344">
        <v>0</v>
      </c>
      <c r="E16" s="344">
        <v>0</v>
      </c>
      <c r="F16" s="344">
        <v>0</v>
      </c>
      <c r="G16" s="311">
        <v>0</v>
      </c>
      <c r="I16" s="306"/>
    </row>
    <row r="17" spans="2:7" x14ac:dyDescent="0.25">
      <c r="B17" s="44" t="s">
        <v>245</v>
      </c>
      <c r="C17" s="312">
        <f>SUM(C15:C16)</f>
        <v>1176756353</v>
      </c>
      <c r="D17" s="312">
        <f t="shared" ref="D17:G17" si="0">SUM(D15:D16)</f>
        <v>1400027312</v>
      </c>
      <c r="E17" s="312">
        <f t="shared" si="0"/>
        <v>3600000000</v>
      </c>
      <c r="F17" s="312">
        <f t="shared" si="0"/>
        <v>1143000000</v>
      </c>
      <c r="G17" s="312">
        <f t="shared" si="0"/>
        <v>400000000</v>
      </c>
    </row>
    <row r="19" spans="2:7" x14ac:dyDescent="0.25">
      <c r="B19" s="308" t="s">
        <v>246</v>
      </c>
      <c r="C19" s="309"/>
      <c r="D19" s="309"/>
      <c r="E19" s="309"/>
      <c r="F19" s="309"/>
      <c r="G19" s="309"/>
    </row>
    <row r="20" spans="2:7" x14ac:dyDescent="0.25">
      <c r="B20" s="35" t="s">
        <v>247</v>
      </c>
      <c r="C20" s="344">
        <v>7260901976</v>
      </c>
      <c r="D20" s="344">
        <v>5001054285</v>
      </c>
      <c r="E20" s="344">
        <v>1035610000</v>
      </c>
      <c r="F20" s="344">
        <v>2825448637</v>
      </c>
      <c r="G20" s="311">
        <f>DCF!C56</f>
        <v>338508901</v>
      </c>
    </row>
    <row r="21" spans="2:7" x14ac:dyDescent="0.25">
      <c r="B21" s="35" t="s">
        <v>248</v>
      </c>
      <c r="C21" s="344">
        <v>1114421</v>
      </c>
      <c r="D21" s="344">
        <v>367793335</v>
      </c>
      <c r="E21" s="344">
        <v>-26013000</v>
      </c>
      <c r="F21" s="344">
        <v>133933747</v>
      </c>
      <c r="G21" s="311">
        <f>DCF!C59</f>
        <v>-417023</v>
      </c>
    </row>
    <row r="22" spans="2:7" x14ac:dyDescent="0.25">
      <c r="B22" s="35" t="s">
        <v>249</v>
      </c>
      <c r="C22" s="344">
        <v>1739473604</v>
      </c>
      <c r="D22" s="344">
        <v>4741115968</v>
      </c>
      <c r="E22" s="344">
        <v>776459000</v>
      </c>
      <c r="F22" s="344">
        <v>284721610</v>
      </c>
      <c r="G22" s="311">
        <f>DCF!C61+DCF!C63</f>
        <v>306003759</v>
      </c>
    </row>
    <row r="23" spans="2:7" x14ac:dyDescent="0.25">
      <c r="B23" s="44" t="s">
        <v>250</v>
      </c>
      <c r="C23" s="312">
        <f>SUM(C20:C21)-C22</f>
        <v>5522542793</v>
      </c>
      <c r="D23" s="312">
        <f t="shared" ref="D23:G23" si="1">SUM(D20:D21)-D22</f>
        <v>627731652</v>
      </c>
      <c r="E23" s="312">
        <f t="shared" si="1"/>
        <v>233138000</v>
      </c>
      <c r="F23" s="312">
        <f t="shared" si="1"/>
        <v>2674660774</v>
      </c>
      <c r="G23" s="312">
        <f t="shared" si="1"/>
        <v>32088119</v>
      </c>
    </row>
    <row r="25" spans="2:7" x14ac:dyDescent="0.25">
      <c r="B25" s="308" t="s">
        <v>251</v>
      </c>
      <c r="C25" s="309"/>
      <c r="D25" s="309"/>
      <c r="E25" s="309"/>
      <c r="F25" s="309"/>
      <c r="G25" s="309"/>
    </row>
    <row r="26" spans="2:7" ht="15.75" thickBot="1" x14ac:dyDescent="0.3">
      <c r="B26" s="44" t="s">
        <v>252</v>
      </c>
      <c r="C26" s="312">
        <f>C11*C17</f>
        <v>32160751127.489998</v>
      </c>
      <c r="D26" s="312">
        <f t="shared" ref="D26:F26" si="2">D11*D17</f>
        <v>29862582564.959999</v>
      </c>
      <c r="E26" s="312">
        <f t="shared" si="2"/>
        <v>4680000000</v>
      </c>
      <c r="F26" s="312">
        <f t="shared" si="2"/>
        <v>5314950000</v>
      </c>
      <c r="G26" s="312">
        <f>G11*G17</f>
        <v>6812000000</v>
      </c>
    </row>
    <row r="27" spans="2:7" ht="15.75" thickTop="1" x14ac:dyDescent="0.25">
      <c r="B27" s="44" t="s">
        <v>253</v>
      </c>
      <c r="C27" s="313">
        <f>C26+C23</f>
        <v>37683293920.489998</v>
      </c>
      <c r="D27" s="313">
        <f t="shared" ref="D27:E27" si="3">D26+D23</f>
        <v>30490314216.959999</v>
      </c>
      <c r="E27" s="313">
        <f t="shared" si="3"/>
        <v>4913138000</v>
      </c>
      <c r="F27" s="313">
        <f>F26+F23</f>
        <v>7989610774</v>
      </c>
      <c r="G27" s="313">
        <f>G26+G23</f>
        <v>6844088119</v>
      </c>
    </row>
    <row r="29" spans="2:7" x14ac:dyDescent="0.25">
      <c r="B29" s="308" t="s">
        <v>280</v>
      </c>
      <c r="C29" s="309"/>
      <c r="D29" s="309"/>
      <c r="E29" s="309"/>
      <c r="F29" s="309"/>
      <c r="G29" s="309"/>
    </row>
    <row r="30" spans="2:7" x14ac:dyDescent="0.25">
      <c r="B30" s="35" t="s">
        <v>18</v>
      </c>
      <c r="C30" s="344">
        <v>29984446222</v>
      </c>
      <c r="D30" s="344">
        <v>20915072432</v>
      </c>
      <c r="E30" s="344">
        <v>3646759000</v>
      </c>
      <c r="F30" s="344">
        <v>6347958607</v>
      </c>
      <c r="G30" s="311">
        <f>FSM!F16</f>
        <v>2877655973</v>
      </c>
    </row>
    <row r="31" spans="2:7" x14ac:dyDescent="0.25">
      <c r="B31" s="35" t="s">
        <v>20</v>
      </c>
      <c r="C31" s="344">
        <v>4095464106</v>
      </c>
      <c r="D31" s="344">
        <v>4218459783</v>
      </c>
      <c r="E31" s="344">
        <v>731009000</v>
      </c>
      <c r="F31" s="344">
        <v>911892371</v>
      </c>
      <c r="G31" s="311">
        <f>FSM!F20</f>
        <v>361759057</v>
      </c>
    </row>
    <row r="32" spans="2:7" x14ac:dyDescent="0.25">
      <c r="B32" s="35" t="s">
        <v>22</v>
      </c>
      <c r="C32" s="344">
        <v>3573292094</v>
      </c>
      <c r="D32" s="344">
        <v>3740483615</v>
      </c>
      <c r="E32" s="344">
        <v>426514000</v>
      </c>
      <c r="F32" s="344">
        <v>395727489</v>
      </c>
      <c r="G32" s="311">
        <f>FSM!F25</f>
        <v>277129999</v>
      </c>
    </row>
    <row r="33" spans="2:7" x14ac:dyDescent="0.25">
      <c r="B33" s="35" t="s">
        <v>131</v>
      </c>
      <c r="C33" s="344">
        <v>1909608115</v>
      </c>
      <c r="D33" s="344">
        <v>2749571345</v>
      </c>
      <c r="E33" s="344">
        <v>341405000</v>
      </c>
      <c r="F33" s="344">
        <v>269931705</v>
      </c>
      <c r="G33" s="311">
        <f>FSM!F31</f>
        <v>211212632</v>
      </c>
    </row>
    <row r="34" spans="2:7" x14ac:dyDescent="0.25">
      <c r="B34" s="306" t="s">
        <v>254</v>
      </c>
      <c r="C34" s="314">
        <f>C31/C30</f>
        <v>0.13658628462496339</v>
      </c>
      <c r="D34" s="314">
        <f t="shared" ref="D34:G34" si="4">D31/D30</f>
        <v>0.20169472502259991</v>
      </c>
      <c r="E34" s="314">
        <f t="shared" si="4"/>
        <v>0.20045443090700538</v>
      </c>
      <c r="F34" s="314">
        <f t="shared" si="4"/>
        <v>0.1436512786952393</v>
      </c>
      <c r="G34" s="314">
        <f t="shared" si="4"/>
        <v>0.12571310135549688</v>
      </c>
    </row>
    <row r="36" spans="2:7" x14ac:dyDescent="0.25">
      <c r="B36" s="308" t="s">
        <v>255</v>
      </c>
      <c r="C36" s="309"/>
      <c r="D36" s="309"/>
      <c r="E36" s="309"/>
      <c r="F36" s="309"/>
      <c r="G36" s="309"/>
    </row>
    <row r="37" spans="2:7" x14ac:dyDescent="0.25">
      <c r="B37" s="35" t="s">
        <v>256</v>
      </c>
      <c r="C37" s="315">
        <f>C27/C30</f>
        <v>1.2567613769315256</v>
      </c>
      <c r="D37" s="315">
        <f t="shared" ref="D37:G37" si="5">D27/D30</f>
        <v>1.4578153776943132</v>
      </c>
      <c r="E37" s="315">
        <f t="shared" si="5"/>
        <v>1.3472614998687875</v>
      </c>
      <c r="F37" s="315">
        <f t="shared" si="5"/>
        <v>1.2586110383879507</v>
      </c>
      <c r="G37" s="315">
        <f t="shared" si="5"/>
        <v>2.3783552249523887</v>
      </c>
    </row>
    <row r="38" spans="2:7" x14ac:dyDescent="0.25">
      <c r="B38" s="44" t="s">
        <v>257</v>
      </c>
      <c r="C38" s="316">
        <f>C27/C31</f>
        <v>9.2012267584722913</v>
      </c>
      <c r="D38" s="316">
        <f t="shared" ref="D38:G38" si="6">D27/D31</f>
        <v>7.2278309585486928</v>
      </c>
      <c r="E38" s="316">
        <f t="shared" si="6"/>
        <v>6.7210362663113585</v>
      </c>
      <c r="F38" s="316">
        <f t="shared" si="6"/>
        <v>8.7615721197869298</v>
      </c>
      <c r="G38" s="316">
        <f t="shared" si="6"/>
        <v>18.918912979696319</v>
      </c>
    </row>
    <row r="39" spans="2:7" x14ac:dyDescent="0.25">
      <c r="B39" s="35" t="s">
        <v>258</v>
      </c>
      <c r="C39" s="315">
        <f>C27/C32</f>
        <v>10.545819633319345</v>
      </c>
      <c r="D39" s="315">
        <f t="shared" ref="D39:G39" si="7">D27/D32</f>
        <v>8.1514363796939122</v>
      </c>
      <c r="E39" s="315">
        <f t="shared" si="7"/>
        <v>11.519288933071365</v>
      </c>
      <c r="F39" s="315">
        <f t="shared" si="7"/>
        <v>20.189678493626204</v>
      </c>
      <c r="G39" s="315">
        <f t="shared" si="7"/>
        <v>24.696309110151585</v>
      </c>
    </row>
    <row r="40" spans="2:7" x14ac:dyDescent="0.25">
      <c r="B40" s="44" t="s">
        <v>259</v>
      </c>
      <c r="C40" s="316">
        <f>C26/C33</f>
        <v>16.841545066166624</v>
      </c>
      <c r="D40" s="316">
        <f t="shared" ref="D40:G40" si="8">D26/D33</f>
        <v>10.860813857135975</v>
      </c>
      <c r="E40" s="316">
        <f t="shared" si="8"/>
        <v>13.708059343009037</v>
      </c>
      <c r="F40" s="316">
        <f t="shared" si="8"/>
        <v>19.689980471171403</v>
      </c>
      <c r="G40" s="316">
        <f t="shared" si="8"/>
        <v>32.25185887556195</v>
      </c>
    </row>
    <row r="42" spans="2:7" x14ac:dyDescent="0.25">
      <c r="B42" s="308" t="s">
        <v>279</v>
      </c>
      <c r="C42" s="309"/>
      <c r="D42" s="309"/>
      <c r="E42" s="309"/>
      <c r="F42" s="309"/>
      <c r="G42" s="309"/>
    </row>
    <row r="43" spans="2:7" x14ac:dyDescent="0.25">
      <c r="C43" s="44" t="s">
        <v>260</v>
      </c>
      <c r="D43" s="44" t="s">
        <v>261</v>
      </c>
      <c r="E43" s="44" t="s">
        <v>262</v>
      </c>
      <c r="F43" s="44" t="s">
        <v>263</v>
      </c>
      <c r="G43" s="44"/>
    </row>
    <row r="44" spans="2:7" x14ac:dyDescent="0.25">
      <c r="B44" s="35" t="s">
        <v>264</v>
      </c>
      <c r="C44" s="315">
        <f>AVERAGE(C37:F37)</f>
        <v>1.3301123232206442</v>
      </c>
      <c r="D44" s="315">
        <f>AVERAGE(C38:F38)</f>
        <v>7.9779165257798184</v>
      </c>
      <c r="E44" s="315">
        <f>AVERAGE(C39:F39)</f>
        <v>12.601555859927707</v>
      </c>
      <c r="F44" s="315">
        <f>AVERAGE(C40:F40)</f>
        <v>15.27509968437076</v>
      </c>
      <c r="G44" s="315"/>
    </row>
    <row r="45" spans="2:7" x14ac:dyDescent="0.25">
      <c r="B45" s="44" t="s">
        <v>265</v>
      </c>
      <c r="C45" s="316">
        <f>MEDIAN(C37:F37)</f>
        <v>1.3029362691283692</v>
      </c>
      <c r="D45" s="316">
        <f>MEDIAN(C38:F38)</f>
        <v>7.9947015391678118</v>
      </c>
      <c r="E45" s="316">
        <f>MEDIAN(C39:F39)</f>
        <v>11.032554283195356</v>
      </c>
      <c r="F45" s="316">
        <f>MEDIAN(C40:F40)</f>
        <v>15.27480220458783</v>
      </c>
      <c r="G45" s="316"/>
    </row>
    <row r="46" spans="2:7" x14ac:dyDescent="0.25">
      <c r="B46" s="35" t="s">
        <v>98</v>
      </c>
      <c r="C46" s="315">
        <f>MAX(C37:F37)</f>
        <v>1.4578153776943132</v>
      </c>
      <c r="D46" s="315">
        <f>MAX(C38:F38)</f>
        <v>9.2012267584722913</v>
      </c>
      <c r="E46" s="315">
        <f>MAX(C39:F39)</f>
        <v>20.189678493626204</v>
      </c>
      <c r="F46" s="315">
        <f>MAX(C40:F40)</f>
        <v>19.689980471171403</v>
      </c>
      <c r="G46" s="315"/>
    </row>
    <row r="47" spans="2:7" x14ac:dyDescent="0.25">
      <c r="B47" s="35" t="s">
        <v>96</v>
      </c>
      <c r="C47" s="315">
        <f>MIN(C37:F37)</f>
        <v>1.2567613769315256</v>
      </c>
      <c r="D47" s="315">
        <f>MIN(C38:F38)</f>
        <v>6.7210362663113585</v>
      </c>
      <c r="E47" s="315">
        <f>MIN(C39:F39)</f>
        <v>8.1514363796939122</v>
      </c>
      <c r="F47" s="315">
        <f>MIN(C40:F40)</f>
        <v>10.860813857135975</v>
      </c>
      <c r="G47" s="315"/>
    </row>
    <row r="49" spans="2:7" x14ac:dyDescent="0.25">
      <c r="B49" s="308" t="s">
        <v>266</v>
      </c>
      <c r="C49" s="309"/>
      <c r="D49" s="309"/>
      <c r="E49" s="309"/>
      <c r="F49" s="309"/>
      <c r="G49" s="309"/>
    </row>
    <row r="50" spans="2:7" x14ac:dyDescent="0.25">
      <c r="B50" s="44" t="s">
        <v>267</v>
      </c>
    </row>
    <row r="51" spans="2:7" x14ac:dyDescent="0.25">
      <c r="B51" s="35" t="s">
        <v>268</v>
      </c>
      <c r="C51" s="315">
        <f>D45</f>
        <v>7.9947015391678118</v>
      </c>
    </row>
    <row r="52" spans="2:7" x14ac:dyDescent="0.25">
      <c r="B52" s="35" t="s">
        <v>269</v>
      </c>
      <c r="C52" s="317">
        <f>G31</f>
        <v>361759057</v>
      </c>
    </row>
    <row r="53" spans="2:7" x14ac:dyDescent="0.25">
      <c r="B53" s="35" t="s">
        <v>270</v>
      </c>
      <c r="C53" s="317">
        <f>C51*C52</f>
        <v>2892155689.8057961</v>
      </c>
    </row>
    <row r="54" spans="2:7" x14ac:dyDescent="0.25">
      <c r="B54" s="35" t="s">
        <v>271</v>
      </c>
      <c r="C54" s="317">
        <f>G23</f>
        <v>32088119</v>
      </c>
    </row>
    <row r="55" spans="2:7" x14ac:dyDescent="0.25">
      <c r="B55" s="35" t="s">
        <v>272</v>
      </c>
      <c r="C55" s="317">
        <f>C53-C54</f>
        <v>2860067570.8057961</v>
      </c>
    </row>
    <row r="56" spans="2:7" ht="15.75" thickBot="1" x14ac:dyDescent="0.3">
      <c r="B56" s="35" t="s">
        <v>245</v>
      </c>
      <c r="C56" s="317">
        <f>G17</f>
        <v>400000000</v>
      </c>
    </row>
    <row r="57" spans="2:7" ht="15.75" thickTop="1" x14ac:dyDescent="0.25">
      <c r="B57" s="44" t="s">
        <v>273</v>
      </c>
      <c r="C57" s="318">
        <f>C55/C56</f>
        <v>7.1501689270144908</v>
      </c>
    </row>
    <row r="59" spans="2:7" x14ac:dyDescent="0.25">
      <c r="B59" s="44" t="s">
        <v>274</v>
      </c>
    </row>
    <row r="60" spans="2:7" x14ac:dyDescent="0.25">
      <c r="B60" s="35" t="s">
        <v>275</v>
      </c>
      <c r="C60" s="315">
        <f>F45</f>
        <v>15.27480220458783</v>
      </c>
    </row>
    <row r="61" spans="2:7" x14ac:dyDescent="0.25">
      <c r="B61" s="35" t="s">
        <v>276</v>
      </c>
      <c r="C61" s="317">
        <f>G33</f>
        <v>211212632</v>
      </c>
    </row>
    <row r="62" spans="2:7" x14ac:dyDescent="0.25">
      <c r="B62" s="35" t="s">
        <v>272</v>
      </c>
      <c r="C62" s="317">
        <f>C60*C61</f>
        <v>3226231176.910398</v>
      </c>
    </row>
    <row r="63" spans="2:7" ht="15.75" thickBot="1" x14ac:dyDescent="0.3">
      <c r="B63" s="35" t="s">
        <v>245</v>
      </c>
      <c r="C63" s="317">
        <f>C56</f>
        <v>400000000</v>
      </c>
    </row>
    <row r="64" spans="2:7" ht="15.75" thickTop="1" x14ac:dyDescent="0.25">
      <c r="B64" s="44" t="s">
        <v>273</v>
      </c>
      <c r="C64" s="318">
        <f>C62/C63</f>
        <v>8.0655779422759952</v>
      </c>
    </row>
    <row r="66" spans="2:3" x14ac:dyDescent="0.25">
      <c r="B66" s="44" t="s">
        <v>277</v>
      </c>
    </row>
    <row r="67" spans="2:3" x14ac:dyDescent="0.25">
      <c r="B67" s="35" t="s">
        <v>261</v>
      </c>
      <c r="C67" s="315">
        <f>D38</f>
        <v>7.2278309585486928</v>
      </c>
    </row>
    <row r="68" spans="2:3" x14ac:dyDescent="0.25">
      <c r="B68" s="35" t="s">
        <v>269</v>
      </c>
      <c r="C68" s="19">
        <f>C52</f>
        <v>361759057</v>
      </c>
    </row>
    <row r="69" spans="2:3" x14ac:dyDescent="0.25">
      <c r="B69" s="35" t="s">
        <v>270</v>
      </c>
      <c r="C69" s="19">
        <f>C67*C68</f>
        <v>2614733311.7199812</v>
      </c>
    </row>
    <row r="70" spans="2:3" x14ac:dyDescent="0.25">
      <c r="B70" s="35" t="s">
        <v>271</v>
      </c>
      <c r="C70" s="19">
        <f>C54</f>
        <v>32088119</v>
      </c>
    </row>
    <row r="71" spans="2:3" x14ac:dyDescent="0.25">
      <c r="B71" s="35" t="s">
        <v>272</v>
      </c>
      <c r="C71" s="19">
        <f>C69-C70</f>
        <v>2582645192.7199812</v>
      </c>
    </row>
    <row r="72" spans="2:3" ht="15.75" thickBot="1" x14ac:dyDescent="0.3">
      <c r="B72" s="35" t="s">
        <v>245</v>
      </c>
      <c r="C72" s="317">
        <f>C63</f>
        <v>400000000</v>
      </c>
    </row>
    <row r="73" spans="2:3" ht="15.75" thickTop="1" x14ac:dyDescent="0.25">
      <c r="B73" s="44" t="s">
        <v>273</v>
      </c>
      <c r="C73" s="318">
        <f>C71/C72</f>
        <v>6.4566129817999531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FSM</vt:lpstr>
      <vt:lpstr>DCF</vt:lpstr>
      <vt:lpstr>WACC</vt:lpstr>
      <vt:lpstr>Trading Comps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WAEL</dc:creator>
  <cp:lastModifiedBy>Ahmed Wael</cp:lastModifiedBy>
  <cp:revision>0</cp:revision>
  <dcterms:created xsi:type="dcterms:W3CDTF">2015-06-05T18:17:20Z</dcterms:created>
  <dcterms:modified xsi:type="dcterms:W3CDTF">2026-10-04T13:20:40Z</dcterms:modified>
  <dc:language>en-US</dc:language>
</cp:coreProperties>
</file>