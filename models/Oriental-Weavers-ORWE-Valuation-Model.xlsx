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7\ORWE - CA\"/>
    </mc:Choice>
  </mc:AlternateContent>
  <xr:revisionPtr revIDLastSave="0" documentId="13_ncr:1_{5073D602-528A-4224-9A3D-BD60C29C77F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SM" sheetId="4" r:id="rId1"/>
    <sheet name="DCF" sheetId="2" r:id="rId2"/>
    <sheet name="WACC" sheetId="3" r:id="rId3"/>
  </sheets>
  <definedNames>
    <definedName name="CIQWBGuid" localSheetId="1" hidden="1">"DCF_complete.xlsx"</definedName>
    <definedName name="CIQWBGuid" localSheetId="2" hidden="1">"DCF_complete.xlsx"</definedName>
    <definedName name="CIQWBGuid" hidden="1">"a611639b-bab1-425e-aaa5-008c326fdfdb"</definedName>
    <definedName name="Company_Name" localSheetId="0">FSM!$D$5</definedName>
    <definedName name="Company_Name">#REF!</definedName>
    <definedName name="Hist_Yr" localSheetId="0">FSM!#REF!</definedName>
    <definedName name="Hist_Yr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1" hidden="1">43549.6880671296</definedName>
    <definedName name="IQ_NAMES_REVISION_DATE_" localSheetId="2" hidden="1">43549.6880671296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LNK841c85bef3244d5c8fb6b3f84988d79e" localSheetId="1" hidden="1">#REF!</definedName>
    <definedName name="MLNK841c85bef3244d5c8fb6b3f84988d79e" localSheetId="2" hidden="1">#REF!</definedName>
    <definedName name="MLNK841c85bef3244d5c8fb6b3f84988d79e" hidden="1">#REF!</definedName>
    <definedName name="MLNKa7775792bf444a4785f8ed5c82461a24" localSheetId="1" hidden="1">#REF!</definedName>
    <definedName name="MLNKa7775792bf444a4785f8ed5c82461a24" localSheetId="2" hidden="1">#REF!</definedName>
    <definedName name="MLNKa7775792bf444a4785f8ed5c82461a24" hidden="1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/>
  <c r="G47" i="4"/>
  <c r="C11" i="3"/>
  <c r="C13" i="3" s="1"/>
  <c r="D72" i="2"/>
  <c r="C72" i="2"/>
  <c r="C18" i="3"/>
  <c r="C64" i="2"/>
  <c r="C63" i="2"/>
  <c r="C62" i="2"/>
  <c r="C57" i="2"/>
  <c r="C19" i="3" s="1"/>
  <c r="C60" i="2"/>
  <c r="I61" i="2"/>
  <c r="C12" i="3"/>
  <c r="E19" i="3" l="1"/>
  <c r="E18" i="3"/>
  <c r="C65" i="2"/>
  <c r="D14" i="2"/>
  <c r="D8" i="2"/>
  <c r="D70" i="2" l="1"/>
  <c r="C70" i="2"/>
  <c r="D255" i="4"/>
  <c r="E255" i="4"/>
  <c r="F255" i="4"/>
  <c r="F230" i="4"/>
  <c r="E230" i="4"/>
  <c r="D230" i="4" l="1"/>
  <c r="G143" i="4" l="1"/>
  <c r="G73" i="4"/>
  <c r="H73" i="4" s="1"/>
  <c r="I73" i="4" s="1"/>
  <c r="J73" i="4" s="1"/>
  <c r="K73" i="4" s="1"/>
  <c r="G89" i="4"/>
  <c r="H89" i="4" s="1"/>
  <c r="I89" i="4" s="1"/>
  <c r="J89" i="4" s="1"/>
  <c r="K89" i="4" s="1"/>
  <c r="F257" i="4"/>
  <c r="G254" i="4" s="1"/>
  <c r="E257" i="4"/>
  <c r="F254" i="4" s="1"/>
  <c r="D257" i="4"/>
  <c r="E254" i="4" s="1"/>
  <c r="F251" i="4"/>
  <c r="E251" i="4"/>
  <c r="D251" i="4"/>
  <c r="F284" i="4"/>
  <c r="G284" i="4" s="1"/>
  <c r="H284" i="4" s="1"/>
  <c r="I284" i="4" s="1"/>
  <c r="J284" i="4" s="1"/>
  <c r="K284" i="4" s="1"/>
  <c r="E284" i="4"/>
  <c r="D284" i="4"/>
  <c r="D286" i="4"/>
  <c r="E286" i="4"/>
  <c r="F286" i="4"/>
  <c r="D287" i="4"/>
  <c r="E287" i="4"/>
  <c r="F287" i="4"/>
  <c r="F288" i="4"/>
  <c r="E288" i="4"/>
  <c r="D288" i="4"/>
  <c r="F283" i="4"/>
  <c r="G279" i="4" s="1"/>
  <c r="E283" i="4"/>
  <c r="F279" i="4" s="1"/>
  <c r="D283" i="4"/>
  <c r="E279" i="4" s="1"/>
  <c r="H237" i="4"/>
  <c r="I237" i="4" s="1"/>
  <c r="J237" i="4" s="1"/>
  <c r="K237" i="4" s="1"/>
  <c r="F235" i="4"/>
  <c r="E235" i="4"/>
  <c r="D235" i="4"/>
  <c r="G95" i="4"/>
  <c r="H95" i="4" s="1"/>
  <c r="G87" i="4"/>
  <c r="H87" i="4" s="1"/>
  <c r="I87" i="4" s="1"/>
  <c r="J87" i="4" s="1"/>
  <c r="K87" i="4" s="1"/>
  <c r="G229" i="4"/>
  <c r="F229" i="4"/>
  <c r="E229" i="4"/>
  <c r="I95" i="4" l="1"/>
  <c r="F248" i="4"/>
  <c r="G248" i="4"/>
  <c r="E248" i="4"/>
  <c r="F236" i="4"/>
  <c r="E231" i="4"/>
  <c r="G287" i="4"/>
  <c r="H287" i="4" s="1"/>
  <c r="I287" i="4" s="1"/>
  <c r="J287" i="4" s="1"/>
  <c r="K287" i="4" s="1"/>
  <c r="F231" i="4"/>
  <c r="G286" i="4"/>
  <c r="H286" i="4" s="1"/>
  <c r="I286" i="4" s="1"/>
  <c r="J286" i="4" s="1"/>
  <c r="K286" i="4" s="1"/>
  <c r="G288" i="4"/>
  <c r="H288" i="4" s="1"/>
  <c r="E236" i="4"/>
  <c r="J95" i="4" l="1"/>
  <c r="I288" i="4"/>
  <c r="K95" i="4" l="1"/>
  <c r="J288" i="4"/>
  <c r="K288" i="4" l="1"/>
  <c r="F240" i="4" l="1"/>
  <c r="F237" i="4" s="1"/>
  <c r="E240" i="4"/>
  <c r="E237" i="4" s="1"/>
  <c r="F239" i="4"/>
  <c r="F232" i="4" s="1"/>
  <c r="C8" i="3" s="1"/>
  <c r="E21" i="3" s="1"/>
  <c r="E239" i="4"/>
  <c r="E232" i="4" s="1"/>
  <c r="G232" i="4" s="1"/>
  <c r="D240" i="4"/>
  <c r="D239" i="4"/>
  <c r="F273" i="4"/>
  <c r="E273" i="4"/>
  <c r="G273" i="4" s="1"/>
  <c r="F272" i="4"/>
  <c r="E272" i="4"/>
  <c r="D273" i="4"/>
  <c r="D272" i="4"/>
  <c r="F270" i="4"/>
  <c r="G267" i="4" s="1"/>
  <c r="E270" i="4"/>
  <c r="F267" i="4" s="1"/>
  <c r="D270" i="4"/>
  <c r="E267" i="4" s="1"/>
  <c r="F164" i="4"/>
  <c r="E164" i="4"/>
  <c r="D164" i="4"/>
  <c r="F163" i="4"/>
  <c r="E163" i="4"/>
  <c r="D163" i="4"/>
  <c r="E158" i="4"/>
  <c r="F158" i="4"/>
  <c r="G158" i="4" s="1"/>
  <c r="F157" i="4"/>
  <c r="G157" i="4" s="1"/>
  <c r="E157" i="4"/>
  <c r="D158" i="4"/>
  <c r="D157" i="4"/>
  <c r="F155" i="4"/>
  <c r="G152" i="4" s="1"/>
  <c r="E155" i="4"/>
  <c r="F152" i="4" s="1"/>
  <c r="D155" i="4"/>
  <c r="E152" i="4" s="1"/>
  <c r="G65" i="4"/>
  <c r="H65" i="4" s="1"/>
  <c r="I65" i="4" s="1"/>
  <c r="J65" i="4" s="1"/>
  <c r="K65" i="4" s="1"/>
  <c r="G67" i="4"/>
  <c r="H67" i="4" s="1"/>
  <c r="I67" i="4" s="1"/>
  <c r="J67" i="4" s="1"/>
  <c r="K67" i="4" s="1"/>
  <c r="G85" i="4"/>
  <c r="H85" i="4" s="1"/>
  <c r="G107" i="4"/>
  <c r="H107" i="4" s="1"/>
  <c r="I107" i="4" s="1"/>
  <c r="J107" i="4" s="1"/>
  <c r="K107" i="4" s="1"/>
  <c r="G104" i="4"/>
  <c r="H104" i="4" s="1"/>
  <c r="I104" i="4" s="1"/>
  <c r="J104" i="4" s="1"/>
  <c r="K104" i="4" s="1"/>
  <c r="G103" i="4"/>
  <c r="H103" i="4" s="1"/>
  <c r="I103" i="4" s="1"/>
  <c r="J103" i="4" s="1"/>
  <c r="K103" i="4" s="1"/>
  <c r="G76" i="4"/>
  <c r="H76" i="4" s="1"/>
  <c r="I76" i="4" s="1"/>
  <c r="J76" i="4" s="1"/>
  <c r="K76" i="4" s="1"/>
  <c r="G75" i="4"/>
  <c r="H75" i="4" s="1"/>
  <c r="I75" i="4" s="1"/>
  <c r="J75" i="4" s="1"/>
  <c r="K75" i="4" s="1"/>
  <c r="G66" i="4"/>
  <c r="H66" i="4" s="1"/>
  <c r="I66" i="4" s="1"/>
  <c r="J66" i="4" s="1"/>
  <c r="K66" i="4" s="1"/>
  <c r="G64" i="4"/>
  <c r="H64" i="4" s="1"/>
  <c r="I64" i="4" s="1"/>
  <c r="J64" i="4" s="1"/>
  <c r="K64" i="4" s="1"/>
  <c r="F212" i="4"/>
  <c r="E212" i="4"/>
  <c r="F211" i="4"/>
  <c r="E211" i="4"/>
  <c r="F210" i="4"/>
  <c r="F222" i="4" s="1"/>
  <c r="E210" i="4"/>
  <c r="E222" i="4" s="1"/>
  <c r="F209" i="4"/>
  <c r="E209" i="4"/>
  <c r="F205" i="4"/>
  <c r="E205" i="4"/>
  <c r="F204" i="4"/>
  <c r="F221" i="4" s="1"/>
  <c r="E204" i="4"/>
  <c r="F203" i="4"/>
  <c r="E203" i="4"/>
  <c r="E220" i="4" s="1"/>
  <c r="D212" i="4"/>
  <c r="D211" i="4"/>
  <c r="D210" i="4"/>
  <c r="D222" i="4" s="1"/>
  <c r="D209" i="4"/>
  <c r="D205" i="4"/>
  <c r="D204" i="4"/>
  <c r="D221" i="4" s="1"/>
  <c r="D203" i="4"/>
  <c r="F52" i="4"/>
  <c r="E52" i="4"/>
  <c r="F51" i="4"/>
  <c r="E51" i="4"/>
  <c r="F50" i="4"/>
  <c r="E50" i="4"/>
  <c r="F49" i="4"/>
  <c r="E49" i="4"/>
  <c r="F48" i="4"/>
  <c r="E48" i="4"/>
  <c r="D52" i="4"/>
  <c r="D51" i="4"/>
  <c r="D50" i="4"/>
  <c r="D49" i="4"/>
  <c r="D48" i="4"/>
  <c r="E183" i="4"/>
  <c r="D183" i="4"/>
  <c r="F183" i="4"/>
  <c r="G180" i="4"/>
  <c r="H180" i="4" s="1"/>
  <c r="I180" i="4" s="1"/>
  <c r="J180" i="4" s="1"/>
  <c r="K180" i="4" s="1"/>
  <c r="G179" i="4"/>
  <c r="H179" i="4" s="1"/>
  <c r="I179" i="4" s="1"/>
  <c r="J179" i="4" s="1"/>
  <c r="K179" i="4" s="1"/>
  <c r="G178" i="4"/>
  <c r="H178" i="4" s="1"/>
  <c r="I178" i="4" s="1"/>
  <c r="J178" i="4" s="1"/>
  <c r="K178" i="4" s="1"/>
  <c r="G174" i="4"/>
  <c r="H174" i="4" s="1"/>
  <c r="I174" i="4" s="1"/>
  <c r="J174" i="4" s="1"/>
  <c r="K174" i="4" s="1"/>
  <c r="G173" i="4"/>
  <c r="H173" i="4" s="1"/>
  <c r="I173" i="4" s="1"/>
  <c r="J173" i="4" s="1"/>
  <c r="K173" i="4" s="1"/>
  <c r="G172" i="4"/>
  <c r="H172" i="4" s="1"/>
  <c r="I172" i="4" s="1"/>
  <c r="J172" i="4" s="1"/>
  <c r="K172" i="4" s="1"/>
  <c r="G171" i="4"/>
  <c r="H171" i="4" s="1"/>
  <c r="I171" i="4" s="1"/>
  <c r="J171" i="4" s="1"/>
  <c r="K171" i="4" s="1"/>
  <c r="I85" i="4" l="1"/>
  <c r="H230" i="4"/>
  <c r="I229" i="4" s="1"/>
  <c r="G230" i="4"/>
  <c r="D206" i="4"/>
  <c r="G222" i="4"/>
  <c r="H222" i="4" s="1"/>
  <c r="I222" i="4" s="1"/>
  <c r="J222" i="4" s="1"/>
  <c r="K222" i="4" s="1"/>
  <c r="F206" i="4"/>
  <c r="G272" i="4"/>
  <c r="H272" i="4" s="1"/>
  <c r="E206" i="4"/>
  <c r="E213" i="4"/>
  <c r="D241" i="4"/>
  <c r="H273" i="4"/>
  <c r="H232" i="4"/>
  <c r="E241" i="4"/>
  <c r="D213" i="4"/>
  <c r="F241" i="4"/>
  <c r="H157" i="4"/>
  <c r="I157" i="4" s="1"/>
  <c r="F213" i="4"/>
  <c r="F220" i="4"/>
  <c r="D220" i="4"/>
  <c r="E221" i="4"/>
  <c r="G221" i="4" s="1"/>
  <c r="H158" i="4"/>
  <c r="I158" i="4" s="1"/>
  <c r="J158" i="4" s="1"/>
  <c r="J85" i="4" l="1"/>
  <c r="I230" i="4"/>
  <c r="G136" i="4"/>
  <c r="H136" i="4"/>
  <c r="D215" i="4"/>
  <c r="D216" i="4" s="1"/>
  <c r="F215" i="4"/>
  <c r="E215" i="4"/>
  <c r="E216" i="4" s="1"/>
  <c r="I232" i="4"/>
  <c r="I272" i="4"/>
  <c r="I273" i="4"/>
  <c r="H221" i="4"/>
  <c r="J157" i="4"/>
  <c r="G220" i="4"/>
  <c r="H220" i="4" s="1"/>
  <c r="I220" i="4" s="1"/>
  <c r="J220" i="4" s="1"/>
  <c r="K220" i="4" s="1"/>
  <c r="K158" i="4"/>
  <c r="F216" i="4" l="1"/>
  <c r="D32" i="2"/>
  <c r="D33" i="2" s="1"/>
  <c r="I136" i="4"/>
  <c r="J229" i="4"/>
  <c r="J231" i="4" s="1"/>
  <c r="K85" i="4"/>
  <c r="K230" i="4" s="1"/>
  <c r="J230" i="4"/>
  <c r="I231" i="4"/>
  <c r="F217" i="4"/>
  <c r="E217" i="4"/>
  <c r="J273" i="4"/>
  <c r="J272" i="4"/>
  <c r="J232" i="4"/>
  <c r="I221" i="4"/>
  <c r="K157" i="4"/>
  <c r="J136" i="4" l="1"/>
  <c r="K229" i="4"/>
  <c r="K231" i="4" s="1"/>
  <c r="K136" i="4"/>
  <c r="K272" i="4"/>
  <c r="K232" i="4"/>
  <c r="K273" i="4"/>
  <c r="J221" i="4"/>
  <c r="K221" i="4" l="1"/>
  <c r="F196" i="4" l="1"/>
  <c r="E196" i="4"/>
  <c r="F195" i="4"/>
  <c r="E195" i="4"/>
  <c r="F194" i="4"/>
  <c r="E194" i="4"/>
  <c r="K181" i="4"/>
  <c r="J181" i="4"/>
  <c r="I181" i="4"/>
  <c r="H181" i="4"/>
  <c r="G181" i="4"/>
  <c r="F181" i="4"/>
  <c r="E181" i="4"/>
  <c r="D181" i="4"/>
  <c r="K175" i="4"/>
  <c r="K183" i="4" s="1"/>
  <c r="K16" i="4" s="1"/>
  <c r="I14" i="2" s="1"/>
  <c r="J175" i="4"/>
  <c r="I175" i="4"/>
  <c r="I183" i="4" s="1"/>
  <c r="I16" i="4" s="1"/>
  <c r="G14" i="2" s="1"/>
  <c r="H175" i="4"/>
  <c r="G175" i="4"/>
  <c r="F175" i="4"/>
  <c r="E175" i="4"/>
  <c r="D175" i="4"/>
  <c r="F191" i="4"/>
  <c r="E191" i="4"/>
  <c r="F190" i="4"/>
  <c r="E190" i="4"/>
  <c r="F189" i="4"/>
  <c r="E189" i="4"/>
  <c r="F188" i="4"/>
  <c r="E188" i="4"/>
  <c r="D46" i="4"/>
  <c r="F46" i="4"/>
  <c r="E46" i="4"/>
  <c r="F77" i="4"/>
  <c r="E77" i="4"/>
  <c r="D77" i="4"/>
  <c r="F69" i="4"/>
  <c r="E69" i="4"/>
  <c r="D69" i="4"/>
  <c r="F92" i="4"/>
  <c r="E92" i="4"/>
  <c r="D92" i="4"/>
  <c r="F98" i="4"/>
  <c r="E98" i="4"/>
  <c r="D98" i="4"/>
  <c r="G97" i="4"/>
  <c r="H97" i="4" s="1"/>
  <c r="I97" i="4" s="1"/>
  <c r="J97" i="4" s="1"/>
  <c r="K97" i="4" s="1"/>
  <c r="F108" i="4"/>
  <c r="F110" i="4" s="1"/>
  <c r="E108" i="4"/>
  <c r="E110" i="4" s="1"/>
  <c r="D108" i="4"/>
  <c r="D110" i="4" s="1"/>
  <c r="F18" i="4"/>
  <c r="E18" i="4"/>
  <c r="D18" i="4"/>
  <c r="J183" i="4" l="1"/>
  <c r="J16" i="4" s="1"/>
  <c r="H183" i="4"/>
  <c r="H16" i="4" s="1"/>
  <c r="K281" i="4"/>
  <c r="K280" i="4"/>
  <c r="K282" i="4"/>
  <c r="K137" i="4" s="1"/>
  <c r="K269" i="4"/>
  <c r="K162" i="4" s="1"/>
  <c r="K268" i="4"/>
  <c r="E79" i="4"/>
  <c r="I281" i="4"/>
  <c r="I282" i="4"/>
  <c r="I137" i="4" s="1"/>
  <c r="I280" i="4"/>
  <c r="I269" i="4"/>
  <c r="I162" i="4" s="1"/>
  <c r="I268" i="4"/>
  <c r="J282" i="4"/>
  <c r="J137" i="4" s="1"/>
  <c r="J269" i="4"/>
  <c r="J162" i="4" s="1"/>
  <c r="K46" i="4"/>
  <c r="K205" i="4"/>
  <c r="K63" i="4" s="1"/>
  <c r="K212" i="4"/>
  <c r="K91" i="4" s="1"/>
  <c r="K209" i="4"/>
  <c r="K84" i="4" s="1"/>
  <c r="K211" i="4"/>
  <c r="K90" i="4" s="1"/>
  <c r="K154" i="4"/>
  <c r="K121" i="4" s="1"/>
  <c r="K153" i="4"/>
  <c r="K204" i="4"/>
  <c r="K62" i="4" s="1"/>
  <c r="F79" i="4"/>
  <c r="I209" i="4"/>
  <c r="I84" i="4" s="1"/>
  <c r="I211" i="4"/>
  <c r="I90" i="4" s="1"/>
  <c r="I205" i="4"/>
  <c r="I63" i="4" s="1"/>
  <c r="I212" i="4"/>
  <c r="I91" i="4" s="1"/>
  <c r="I153" i="4"/>
  <c r="I154" i="4"/>
  <c r="I121" i="4" s="1"/>
  <c r="I204" i="4"/>
  <c r="I62" i="4" s="1"/>
  <c r="J205" i="4"/>
  <c r="J63" i="4" s="1"/>
  <c r="J212" i="4"/>
  <c r="J91" i="4" s="1"/>
  <c r="J154" i="4"/>
  <c r="J121" i="4" s="1"/>
  <c r="J204" i="4"/>
  <c r="J62" i="4" s="1"/>
  <c r="G183" i="4"/>
  <c r="G16" i="4" s="1"/>
  <c r="E14" i="2" s="1"/>
  <c r="J46" i="4"/>
  <c r="F28" i="4"/>
  <c r="F47" i="4"/>
  <c r="E28" i="4"/>
  <c r="E47" i="4"/>
  <c r="D28" i="4"/>
  <c r="D47" i="4"/>
  <c r="K185" i="4"/>
  <c r="I185" i="4"/>
  <c r="J185" i="4"/>
  <c r="E100" i="4"/>
  <c r="E112" i="4" s="1"/>
  <c r="D100" i="4"/>
  <c r="D112" i="4" s="1"/>
  <c r="F100" i="4"/>
  <c r="F112" i="4" s="1"/>
  <c r="D79" i="4"/>
  <c r="B3" i="2"/>
  <c r="H281" i="4" l="1"/>
  <c r="H123" i="4" s="1"/>
  <c r="F14" i="2"/>
  <c r="E35" i="4"/>
  <c r="E42" i="4"/>
  <c r="E43" i="4" s="1"/>
  <c r="E15" i="2"/>
  <c r="C14" i="2"/>
  <c r="H205" i="4"/>
  <c r="H63" i="4" s="1"/>
  <c r="J280" i="4"/>
  <c r="H14" i="2"/>
  <c r="I132" i="4"/>
  <c r="I133" i="4" s="1"/>
  <c r="G27" i="2"/>
  <c r="G28" i="2" s="1"/>
  <c r="K132" i="4"/>
  <c r="K133" i="4" s="1"/>
  <c r="I27" i="2"/>
  <c r="I28" i="2" s="1"/>
  <c r="D35" i="4"/>
  <c r="D42" i="4"/>
  <c r="D43" i="4" s="1"/>
  <c r="F35" i="4"/>
  <c r="F53" i="4" s="1"/>
  <c r="D22" i="2" s="1"/>
  <c r="F42" i="4"/>
  <c r="D18" i="2"/>
  <c r="J163" i="4"/>
  <c r="J122" i="4"/>
  <c r="K239" i="4"/>
  <c r="K123" i="4"/>
  <c r="I239" i="4"/>
  <c r="I123" i="4"/>
  <c r="K163" i="4"/>
  <c r="K122" i="4"/>
  <c r="I163" i="4"/>
  <c r="I122" i="4"/>
  <c r="H280" i="4"/>
  <c r="K33" i="4"/>
  <c r="I33" i="4"/>
  <c r="J153" i="4"/>
  <c r="J209" i="4"/>
  <c r="J84" i="4" s="1"/>
  <c r="J268" i="4"/>
  <c r="J281" i="4"/>
  <c r="H269" i="4"/>
  <c r="H162" i="4" s="1"/>
  <c r="I46" i="4"/>
  <c r="J211" i="4"/>
  <c r="J90" i="4" s="1"/>
  <c r="H153" i="4"/>
  <c r="H212" i="4"/>
  <c r="H91" i="4" s="1"/>
  <c r="H185" i="4"/>
  <c r="H154" i="4"/>
  <c r="H211" i="4"/>
  <c r="H90" i="4" s="1"/>
  <c r="I164" i="4"/>
  <c r="G25" i="2" s="1"/>
  <c r="H282" i="4"/>
  <c r="H137" i="4" s="1"/>
  <c r="E114" i="4"/>
  <c r="H204" i="4"/>
  <c r="H62" i="4" s="1"/>
  <c r="H209" i="4"/>
  <c r="H84" i="4" s="1"/>
  <c r="H268" i="4"/>
  <c r="G280" i="4"/>
  <c r="G282" i="4"/>
  <c r="G137" i="4" s="1"/>
  <c r="G281" i="4"/>
  <c r="G269" i="4"/>
  <c r="G162" i="4" s="1"/>
  <c r="G268" i="4"/>
  <c r="K164" i="4"/>
  <c r="I25" i="2" s="1"/>
  <c r="F114" i="4"/>
  <c r="J164" i="4"/>
  <c r="H25" i="2" s="1"/>
  <c r="G46" i="4"/>
  <c r="G209" i="4"/>
  <c r="G84" i="4" s="1"/>
  <c r="G205" i="4"/>
  <c r="G63" i="4" s="1"/>
  <c r="G154" i="4"/>
  <c r="G121" i="4" s="1"/>
  <c r="G212" i="4"/>
  <c r="G91" i="4" s="1"/>
  <c r="G211" i="4"/>
  <c r="G90" i="4" s="1"/>
  <c r="G153" i="4"/>
  <c r="G204" i="4"/>
  <c r="G62" i="4" s="1"/>
  <c r="H46" i="4"/>
  <c r="G185" i="4"/>
  <c r="D38" i="4"/>
  <c r="D53" i="4"/>
  <c r="E38" i="4"/>
  <c r="E53" i="4"/>
  <c r="F38" i="4"/>
  <c r="D114" i="4"/>
  <c r="F14" i="4"/>
  <c r="F13" i="4"/>
  <c r="C2" i="4"/>
  <c r="J132" i="4" l="1"/>
  <c r="J133" i="4" s="1"/>
  <c r="H27" i="2"/>
  <c r="H28" i="2" s="1"/>
  <c r="H132" i="4"/>
  <c r="H133" i="4" s="1"/>
  <c r="F27" i="2"/>
  <c r="F28" i="2" s="1"/>
  <c r="D21" i="2"/>
  <c r="D23" i="2"/>
  <c r="D19" i="2"/>
  <c r="F15" i="2"/>
  <c r="G15" i="2"/>
  <c r="G132" i="4"/>
  <c r="G133" i="4" s="1"/>
  <c r="E27" i="2"/>
  <c r="E28" i="2" s="1"/>
  <c r="F43" i="4"/>
  <c r="D16" i="2"/>
  <c r="D17" i="2" s="1"/>
  <c r="H15" i="2"/>
  <c r="I15" i="2"/>
  <c r="H164" i="4"/>
  <c r="F25" i="2" s="1"/>
  <c r="H121" i="4"/>
  <c r="G239" i="4"/>
  <c r="G33" i="4" s="1"/>
  <c r="G123" i="4"/>
  <c r="H163" i="4"/>
  <c r="H122" i="4"/>
  <c r="J239" i="4"/>
  <c r="J33" i="4" s="1"/>
  <c r="J123" i="4"/>
  <c r="F261" i="4"/>
  <c r="G261" i="4" s="1"/>
  <c r="H261" i="4" s="1"/>
  <c r="I261" i="4" s="1"/>
  <c r="J261" i="4" s="1"/>
  <c r="K261" i="4" s="1"/>
  <c r="F39" i="4"/>
  <c r="F249" i="4" s="1"/>
  <c r="D261" i="4"/>
  <c r="D39" i="4"/>
  <c r="D249" i="4" s="1"/>
  <c r="E261" i="4"/>
  <c r="E39" i="4"/>
  <c r="E249" i="4" s="1"/>
  <c r="G122" i="4"/>
  <c r="G163" i="4"/>
  <c r="F200" i="4"/>
  <c r="F199" i="4"/>
  <c r="E259" i="4"/>
  <c r="E260" i="4"/>
  <c r="F260" i="4"/>
  <c r="G260" i="4" s="1"/>
  <c r="H260" i="4" s="1"/>
  <c r="I260" i="4" s="1"/>
  <c r="J260" i="4" s="1"/>
  <c r="K260" i="4" s="1"/>
  <c r="F259" i="4"/>
  <c r="G259" i="4" s="1"/>
  <c r="H259" i="4" s="1"/>
  <c r="I259" i="4" s="1"/>
  <c r="J259" i="4" s="1"/>
  <c r="K259" i="4" s="1"/>
  <c r="D259" i="4"/>
  <c r="D260" i="4"/>
  <c r="G164" i="4"/>
  <c r="E25" i="2" s="1"/>
  <c r="F276" i="4"/>
  <c r="F168" i="4"/>
  <c r="F277" i="4"/>
  <c r="F167" i="4"/>
  <c r="G14" i="4"/>
  <c r="G13" i="4"/>
  <c r="E13" i="4"/>
  <c r="E14" i="4"/>
  <c r="F225" i="4"/>
  <c r="F226" i="4"/>
  <c r="F244" i="4"/>
  <c r="F245" i="4"/>
  <c r="F264" i="4"/>
  <c r="F265" i="4"/>
  <c r="F56" i="4"/>
  <c r="F57" i="4"/>
  <c r="F149" i="4"/>
  <c r="F150" i="4"/>
  <c r="G200" i="4" l="1"/>
  <c r="G199" i="4"/>
  <c r="E200" i="4"/>
  <c r="E199" i="4"/>
  <c r="G276" i="4"/>
  <c r="E168" i="4"/>
  <c r="E277" i="4"/>
  <c r="E225" i="4"/>
  <c r="E276" i="4"/>
  <c r="G168" i="4"/>
  <c r="G277" i="4"/>
  <c r="E167" i="4"/>
  <c r="G167" i="4"/>
  <c r="G57" i="4"/>
  <c r="G264" i="4"/>
  <c r="G226" i="4"/>
  <c r="G150" i="4"/>
  <c r="H13" i="4"/>
  <c r="H14" i="4"/>
  <c r="G265" i="4"/>
  <c r="G118" i="4"/>
  <c r="G245" i="4"/>
  <c r="G117" i="4"/>
  <c r="G56" i="4"/>
  <c r="G149" i="4"/>
  <c r="G225" i="4"/>
  <c r="G244" i="4"/>
  <c r="E150" i="4"/>
  <c r="E57" i="4"/>
  <c r="E265" i="4"/>
  <c r="E245" i="4"/>
  <c r="E226" i="4"/>
  <c r="D14" i="4"/>
  <c r="E149" i="4"/>
  <c r="E56" i="4"/>
  <c r="E264" i="4"/>
  <c r="E244" i="4"/>
  <c r="D13" i="4"/>
  <c r="H200" i="4" l="1"/>
  <c r="D199" i="4"/>
  <c r="H199" i="4"/>
  <c r="D200" i="4"/>
  <c r="D276" i="4"/>
  <c r="H276" i="4"/>
  <c r="H168" i="4"/>
  <c r="H277" i="4"/>
  <c r="D168" i="4"/>
  <c r="D277" i="4"/>
  <c r="H167" i="4"/>
  <c r="D167" i="4"/>
  <c r="I14" i="4"/>
  <c r="H118" i="4"/>
  <c r="H150" i="4"/>
  <c r="H226" i="4"/>
  <c r="H57" i="4"/>
  <c r="H245" i="4"/>
  <c r="H117" i="4"/>
  <c r="H265" i="4"/>
  <c r="H264" i="4"/>
  <c r="H149" i="4"/>
  <c r="H225" i="4"/>
  <c r="I13" i="4"/>
  <c r="H56" i="4"/>
  <c r="H244" i="4"/>
  <c r="D149" i="4"/>
  <c r="D56" i="4"/>
  <c r="D264" i="4"/>
  <c r="D244" i="4"/>
  <c r="D225" i="4"/>
  <c r="D150" i="4"/>
  <c r="D57" i="4"/>
  <c r="D265" i="4"/>
  <c r="D245" i="4"/>
  <c r="D226" i="4"/>
  <c r="O90" i="2"/>
  <c r="P90" i="2" s="1"/>
  <c r="Q90" i="2" s="1"/>
  <c r="G90" i="2"/>
  <c r="F90" i="2" s="1"/>
  <c r="E90" i="2" s="1"/>
  <c r="I199" i="4" l="1"/>
  <c r="I200" i="4"/>
  <c r="I277" i="4"/>
  <c r="I276" i="4"/>
  <c r="J14" i="4"/>
  <c r="I168" i="4"/>
  <c r="I167" i="4"/>
  <c r="I150" i="4"/>
  <c r="I226" i="4"/>
  <c r="I57" i="4"/>
  <c r="I265" i="4"/>
  <c r="I245" i="4"/>
  <c r="I118" i="4"/>
  <c r="I264" i="4"/>
  <c r="I149" i="4"/>
  <c r="J13" i="4"/>
  <c r="I117" i="4"/>
  <c r="I56" i="4"/>
  <c r="I225" i="4"/>
  <c r="I244" i="4"/>
  <c r="H90" i="2"/>
  <c r="I90" i="2" s="1"/>
  <c r="N90" i="2"/>
  <c r="M90" i="2" s="1"/>
  <c r="J200" i="4" l="1"/>
  <c r="J199" i="4"/>
  <c r="J276" i="4"/>
  <c r="J168" i="4"/>
  <c r="J277" i="4"/>
  <c r="K14" i="4"/>
  <c r="J245" i="4"/>
  <c r="J265" i="4"/>
  <c r="J150" i="4"/>
  <c r="J226" i="4"/>
  <c r="J57" i="4"/>
  <c r="J118" i="4"/>
  <c r="J167" i="4"/>
  <c r="J149" i="4"/>
  <c r="J244" i="4"/>
  <c r="J225" i="4"/>
  <c r="J56" i="4"/>
  <c r="K13" i="4"/>
  <c r="J117" i="4"/>
  <c r="J264" i="4"/>
  <c r="Q130" i="2"/>
  <c r="O130" i="2"/>
  <c r="Q129" i="2"/>
  <c r="O129" i="2"/>
  <c r="Q128" i="2"/>
  <c r="O128" i="2"/>
  <c r="D130" i="2"/>
  <c r="E129" i="2"/>
  <c r="C129" i="2"/>
  <c r="E128" i="2"/>
  <c r="C128" i="2"/>
  <c r="K200" i="4" l="1"/>
  <c r="K199" i="4"/>
  <c r="K276" i="4"/>
  <c r="K168" i="4"/>
  <c r="K277" i="4"/>
  <c r="K118" i="4"/>
  <c r="K150" i="4"/>
  <c r="K57" i="4"/>
  <c r="K226" i="4"/>
  <c r="K245" i="4"/>
  <c r="K265" i="4"/>
  <c r="K264" i="4"/>
  <c r="K167" i="4"/>
  <c r="K244" i="4"/>
  <c r="K56" i="4"/>
  <c r="K225" i="4"/>
  <c r="K149" i="4"/>
  <c r="K117" i="4"/>
  <c r="P129" i="2"/>
  <c r="D128" i="2"/>
  <c r="P128" i="2"/>
  <c r="P130" i="2"/>
  <c r="D129" i="2"/>
  <c r="B3" i="3" l="1"/>
  <c r="B35" i="2"/>
  <c r="C12" i="2" l="1"/>
  <c r="D37" i="2"/>
  <c r="D12" i="2"/>
  <c r="E12" i="2" s="1"/>
  <c r="E37" i="2" s="1"/>
  <c r="D5" i="2"/>
  <c r="C38" i="2" l="1"/>
  <c r="F12" i="2"/>
  <c r="F37" i="2" s="1"/>
  <c r="G12" i="2" l="1"/>
  <c r="G37" i="2" s="1"/>
  <c r="H12" i="2" l="1"/>
  <c r="H37" i="2" s="1"/>
  <c r="I12" i="2" l="1"/>
  <c r="I37" i="2" s="1"/>
  <c r="B43" i="2" l="1"/>
  <c r="E44" i="2"/>
  <c r="B44" i="2"/>
  <c r="G99" i="2" l="1"/>
  <c r="F99" i="2" s="1"/>
  <c r="E99" i="2" s="1"/>
  <c r="O99" i="2"/>
  <c r="P99" i="2" s="1"/>
  <c r="Q99" i="2" s="1"/>
  <c r="N99" i="2" l="1"/>
  <c r="M99" i="2" s="1"/>
  <c r="H99" i="2"/>
  <c r="I99" i="2" s="1"/>
  <c r="H4" i="2" l="1"/>
  <c r="L93" i="2"/>
  <c r="D102" i="2"/>
  <c r="D93" i="2"/>
  <c r="L102" i="2"/>
  <c r="B129" i="2" l="1"/>
  <c r="D103" i="2"/>
  <c r="D104" i="2" s="1"/>
  <c r="D101" i="2"/>
  <c r="D100" i="2" s="1"/>
  <c r="B128" i="2"/>
  <c r="G128" i="2"/>
  <c r="L94" i="2"/>
  <c r="L95" i="2" s="1"/>
  <c r="L92" i="2"/>
  <c r="L91" i="2" s="1"/>
  <c r="D94" i="2"/>
  <c r="D95" i="2" s="1"/>
  <c r="D92" i="2"/>
  <c r="D91" i="2" s="1"/>
  <c r="G129" i="2"/>
  <c r="L101" i="2"/>
  <c r="L100" i="2" s="1"/>
  <c r="L103" i="2"/>
  <c r="L104" i="2" s="1"/>
  <c r="G130" i="2" s="1"/>
  <c r="G155" i="4" l="1"/>
  <c r="H152" i="4" l="1"/>
  <c r="H155" i="4" s="1"/>
  <c r="G72" i="4"/>
  <c r="G270" i="4"/>
  <c r="G283" i="4"/>
  <c r="I152" i="4" l="1"/>
  <c r="I155" i="4" s="1"/>
  <c r="H72" i="4"/>
  <c r="H267" i="4"/>
  <c r="H270" i="4" s="1"/>
  <c r="G74" i="4"/>
  <c r="H279" i="4"/>
  <c r="H283" i="4" s="1"/>
  <c r="G96" i="4"/>
  <c r="G98" i="4" s="1"/>
  <c r="G86" i="4"/>
  <c r="G77" i="4"/>
  <c r="I267" i="4" l="1"/>
  <c r="I270" i="4" s="1"/>
  <c r="H74" i="4"/>
  <c r="H77" i="4" s="1"/>
  <c r="I279" i="4"/>
  <c r="I283" i="4" s="1"/>
  <c r="H96" i="4"/>
  <c r="H98" i="4" s="1"/>
  <c r="H86" i="4"/>
  <c r="J152" i="4"/>
  <c r="J155" i="4" s="1"/>
  <c r="I72" i="4"/>
  <c r="G231" i="4"/>
  <c r="H229" i="4"/>
  <c r="H239" i="4" s="1"/>
  <c r="J279" i="4" l="1"/>
  <c r="J283" i="4" s="1"/>
  <c r="I86" i="4"/>
  <c r="I96" i="4"/>
  <c r="I98" i="4" s="1"/>
  <c r="K152" i="4"/>
  <c r="K155" i="4" s="1"/>
  <c r="K72" i="4" s="1"/>
  <c r="J72" i="4"/>
  <c r="J267" i="4"/>
  <c r="J270" i="4" s="1"/>
  <c r="I74" i="4"/>
  <c r="I77" i="4" s="1"/>
  <c r="H231" i="4"/>
  <c r="K279" i="4" l="1"/>
  <c r="K283" i="4" s="1"/>
  <c r="J96" i="4"/>
  <c r="J98" i="4" s="1"/>
  <c r="J86" i="4"/>
  <c r="K267" i="4"/>
  <c r="K270" i="4" s="1"/>
  <c r="K74" i="4" s="1"/>
  <c r="K77" i="4" s="1"/>
  <c r="J74" i="4"/>
  <c r="J77" i="4" s="1"/>
  <c r="H33" i="4"/>
  <c r="K86" i="4" l="1"/>
  <c r="K96" i="4"/>
  <c r="K98" i="4" s="1"/>
  <c r="G18" i="4"/>
  <c r="G17" i="4" s="1"/>
  <c r="H47" i="4"/>
  <c r="I47" i="4" s="1"/>
  <c r="G203" i="4"/>
  <c r="G61" i="4" s="1"/>
  <c r="G206" i="4"/>
  <c r="G210" i="4"/>
  <c r="G88" i="4" s="1"/>
  <c r="G92" i="4" s="1"/>
  <c r="G100" i="4" s="1"/>
  <c r="G213" i="4"/>
  <c r="G215" i="4"/>
  <c r="E32" i="2" s="1"/>
  <c r="G216" i="4"/>
  <c r="G217" i="4"/>
  <c r="G127" i="4" s="1"/>
  <c r="E33" i="2" l="1"/>
  <c r="E26" i="2"/>
  <c r="I18" i="4"/>
  <c r="J47" i="4"/>
  <c r="H18" i="4"/>
  <c r="H17" i="4" l="1"/>
  <c r="K47" i="4"/>
  <c r="K18" i="4" s="1"/>
  <c r="J18" i="4"/>
  <c r="I17" i="4"/>
  <c r="J17" i="4" l="1"/>
  <c r="K17" i="4"/>
  <c r="I203" i="4"/>
  <c r="I210" i="4"/>
  <c r="H203" i="4"/>
  <c r="H210" i="4"/>
  <c r="K210" i="4" l="1"/>
  <c r="K203" i="4"/>
  <c r="H88" i="4"/>
  <c r="H92" i="4" s="1"/>
  <c r="H100" i="4" s="1"/>
  <c r="H213" i="4"/>
  <c r="H61" i="4"/>
  <c r="H206" i="4"/>
  <c r="I88" i="4"/>
  <c r="I92" i="4" s="1"/>
  <c r="I100" i="4" s="1"/>
  <c r="I213" i="4"/>
  <c r="I61" i="4"/>
  <c r="I206" i="4"/>
  <c r="I215" i="4" s="1"/>
  <c r="J210" i="4"/>
  <c r="J203" i="4"/>
  <c r="J88" i="4" l="1"/>
  <c r="J92" i="4" s="1"/>
  <c r="J100" i="4" s="1"/>
  <c r="J213" i="4"/>
  <c r="J61" i="4"/>
  <c r="J206" i="4"/>
  <c r="J215" i="4" s="1"/>
  <c r="G32" i="2"/>
  <c r="J217" i="4"/>
  <c r="J127" i="4" s="1"/>
  <c r="I216" i="4"/>
  <c r="H215" i="4"/>
  <c r="K61" i="4"/>
  <c r="K206" i="4"/>
  <c r="K88" i="4"/>
  <c r="K92" i="4" s="1"/>
  <c r="K100" i="4" s="1"/>
  <c r="K213" i="4"/>
  <c r="G33" i="2" l="1"/>
  <c r="F32" i="2"/>
  <c r="H216" i="4"/>
  <c r="H217" i="4"/>
  <c r="H127" i="4" s="1"/>
  <c r="I217" i="4"/>
  <c r="I127" i="4" s="1"/>
  <c r="K215" i="4"/>
  <c r="H32" i="2"/>
  <c r="K217" i="4"/>
  <c r="K127" i="4" s="1"/>
  <c r="J216" i="4"/>
  <c r="F33" i="2" l="1"/>
  <c r="G26" i="2"/>
  <c r="F26" i="2"/>
  <c r="H33" i="2"/>
  <c r="I32" i="2"/>
  <c r="I33" i="2" s="1"/>
  <c r="K216" i="4"/>
  <c r="H26" i="2"/>
  <c r="I26" i="2" l="1"/>
  <c r="H7" i="2"/>
  <c r="H8" i="2"/>
  <c r="C16" i="2"/>
  <c r="E16" i="2"/>
  <c r="F16" i="2"/>
  <c r="G16" i="2"/>
  <c r="H16" i="2"/>
  <c r="I16" i="2"/>
  <c r="E17" i="2"/>
  <c r="F17" i="2"/>
  <c r="G17" i="2"/>
  <c r="H17" i="2"/>
  <c r="I17" i="2"/>
  <c r="C18" i="2"/>
  <c r="E18" i="2"/>
  <c r="F18" i="2"/>
  <c r="G18" i="2"/>
  <c r="H18" i="2"/>
  <c r="I18" i="2"/>
  <c r="E19" i="2"/>
  <c r="F19" i="2"/>
  <c r="G19" i="2"/>
  <c r="H19" i="2"/>
  <c r="I19" i="2"/>
  <c r="E21" i="2"/>
  <c r="F21" i="2"/>
  <c r="G21" i="2"/>
  <c r="H21" i="2"/>
  <c r="I21" i="2"/>
  <c r="E22" i="2"/>
  <c r="F22" i="2"/>
  <c r="G22" i="2"/>
  <c r="H22" i="2"/>
  <c r="I22" i="2"/>
  <c r="E23" i="2"/>
  <c r="F23" i="2"/>
  <c r="G23" i="2"/>
  <c r="H23" i="2"/>
  <c r="I23" i="2"/>
  <c r="E30" i="2"/>
  <c r="F30" i="2"/>
  <c r="G30" i="2"/>
  <c r="H30" i="2"/>
  <c r="I30" i="2"/>
  <c r="E38" i="2"/>
  <c r="F38" i="2"/>
  <c r="G38" i="2"/>
  <c r="H38" i="2"/>
  <c r="I38" i="2"/>
  <c r="E39" i="2"/>
  <c r="F39" i="2"/>
  <c r="G39" i="2"/>
  <c r="H39" i="2"/>
  <c r="I39" i="2"/>
  <c r="I42" i="2"/>
  <c r="C43" i="2"/>
  <c r="C44" i="2"/>
  <c r="I44" i="2"/>
  <c r="C45" i="2"/>
  <c r="I45" i="2"/>
  <c r="C46" i="2"/>
  <c r="I46" i="2"/>
  <c r="C47" i="2"/>
  <c r="I47" i="2"/>
  <c r="C49" i="2"/>
  <c r="I49" i="2"/>
  <c r="C50" i="2"/>
  <c r="I50" i="2"/>
  <c r="C51" i="2"/>
  <c r="I51" i="2"/>
  <c r="C69" i="2"/>
  <c r="D69" i="2"/>
  <c r="C71" i="2"/>
  <c r="D71" i="2"/>
  <c r="C73" i="2"/>
  <c r="D73" i="2"/>
  <c r="C77" i="2"/>
  <c r="D77" i="2"/>
  <c r="C78" i="2"/>
  <c r="D78" i="2"/>
  <c r="C79" i="2"/>
  <c r="D79" i="2"/>
  <c r="C82" i="2"/>
  <c r="D82" i="2"/>
  <c r="C83" i="2"/>
  <c r="D83" i="2"/>
  <c r="C84" i="2"/>
  <c r="D84" i="2"/>
  <c r="D90" i="2"/>
  <c r="L90" i="2"/>
  <c r="D99" i="2"/>
  <c r="L99" i="2"/>
  <c r="G19" i="4"/>
  <c r="H19" i="4"/>
  <c r="I19" i="4"/>
  <c r="J19" i="4"/>
  <c r="K19" i="4"/>
  <c r="G20" i="4"/>
  <c r="H20" i="4"/>
  <c r="I20" i="4"/>
  <c r="J20" i="4"/>
  <c r="K20" i="4"/>
  <c r="G21" i="4"/>
  <c r="H21" i="4"/>
  <c r="I21" i="4"/>
  <c r="J21" i="4"/>
  <c r="K21" i="4"/>
  <c r="G22" i="4"/>
  <c r="H22" i="4"/>
  <c r="I22" i="4"/>
  <c r="J22" i="4"/>
  <c r="K22" i="4"/>
  <c r="G27" i="4"/>
  <c r="H27" i="4"/>
  <c r="I27" i="4"/>
  <c r="J27" i="4"/>
  <c r="K27" i="4"/>
  <c r="G28" i="4"/>
  <c r="H28" i="4"/>
  <c r="I28" i="4"/>
  <c r="J28" i="4"/>
  <c r="K28" i="4"/>
  <c r="G32" i="4"/>
  <c r="H32" i="4"/>
  <c r="I32" i="4"/>
  <c r="J32" i="4"/>
  <c r="K32" i="4"/>
  <c r="G35" i="4"/>
  <c r="H35" i="4"/>
  <c r="I35" i="4"/>
  <c r="J35" i="4"/>
  <c r="K35" i="4"/>
  <c r="G36" i="4"/>
  <c r="H36" i="4"/>
  <c r="I36" i="4"/>
  <c r="J36" i="4"/>
  <c r="K36" i="4"/>
  <c r="G38" i="4"/>
  <c r="H38" i="4"/>
  <c r="I38" i="4"/>
  <c r="J38" i="4"/>
  <c r="K38" i="4"/>
  <c r="G39" i="4"/>
  <c r="H39" i="4"/>
  <c r="I39" i="4"/>
  <c r="J39" i="4"/>
  <c r="K39" i="4"/>
  <c r="G40" i="4"/>
  <c r="H40" i="4"/>
  <c r="I40" i="4"/>
  <c r="J40" i="4"/>
  <c r="K40" i="4"/>
  <c r="G42" i="4"/>
  <c r="H42" i="4"/>
  <c r="I42" i="4"/>
  <c r="J42" i="4"/>
  <c r="K42" i="4"/>
  <c r="G43" i="4"/>
  <c r="H43" i="4"/>
  <c r="I43" i="4"/>
  <c r="J43" i="4"/>
  <c r="K43" i="4"/>
  <c r="G48" i="4"/>
  <c r="H48" i="4"/>
  <c r="I48" i="4"/>
  <c r="J48" i="4"/>
  <c r="K48" i="4"/>
  <c r="G49" i="4"/>
  <c r="H49" i="4"/>
  <c r="I49" i="4"/>
  <c r="J49" i="4"/>
  <c r="K49" i="4"/>
  <c r="G50" i="4"/>
  <c r="H50" i="4"/>
  <c r="I50" i="4"/>
  <c r="J50" i="4"/>
  <c r="K50" i="4"/>
  <c r="G51" i="4"/>
  <c r="H51" i="4"/>
  <c r="I51" i="4"/>
  <c r="J51" i="4"/>
  <c r="K51" i="4"/>
  <c r="G52" i="4"/>
  <c r="H52" i="4"/>
  <c r="I52" i="4"/>
  <c r="J52" i="4"/>
  <c r="K52" i="4"/>
  <c r="G53" i="4"/>
  <c r="H53" i="4"/>
  <c r="I53" i="4"/>
  <c r="J53" i="4"/>
  <c r="K53" i="4"/>
  <c r="G68" i="4"/>
  <c r="H68" i="4"/>
  <c r="I68" i="4"/>
  <c r="J68" i="4"/>
  <c r="K68" i="4"/>
  <c r="G69" i="4"/>
  <c r="H69" i="4"/>
  <c r="I69" i="4"/>
  <c r="J69" i="4"/>
  <c r="K69" i="4"/>
  <c r="G79" i="4"/>
  <c r="H79" i="4"/>
  <c r="I79" i="4"/>
  <c r="J79" i="4"/>
  <c r="K79" i="4"/>
  <c r="G105" i="4"/>
  <c r="H105" i="4"/>
  <c r="I105" i="4"/>
  <c r="J105" i="4"/>
  <c r="K105" i="4"/>
  <c r="G108" i="4"/>
  <c r="H108" i="4"/>
  <c r="I108" i="4"/>
  <c r="J108" i="4"/>
  <c r="K108" i="4"/>
  <c r="G109" i="4"/>
  <c r="H109" i="4"/>
  <c r="I109" i="4"/>
  <c r="J109" i="4"/>
  <c r="K109" i="4"/>
  <c r="G110" i="4"/>
  <c r="H110" i="4"/>
  <c r="I110" i="4"/>
  <c r="J110" i="4"/>
  <c r="K110" i="4"/>
  <c r="G112" i="4"/>
  <c r="H112" i="4"/>
  <c r="I112" i="4"/>
  <c r="J112" i="4"/>
  <c r="K112" i="4"/>
  <c r="G114" i="4"/>
  <c r="H114" i="4"/>
  <c r="I114" i="4"/>
  <c r="J114" i="4"/>
  <c r="K114" i="4"/>
  <c r="G120" i="4"/>
  <c r="H120" i="4"/>
  <c r="I120" i="4"/>
  <c r="J120" i="4"/>
  <c r="K120" i="4"/>
  <c r="G124" i="4"/>
  <c r="H124" i="4"/>
  <c r="I124" i="4"/>
  <c r="J124" i="4"/>
  <c r="K124" i="4"/>
  <c r="G128" i="4"/>
  <c r="H128" i="4"/>
  <c r="I128" i="4"/>
  <c r="J128" i="4"/>
  <c r="K128" i="4"/>
  <c r="G129" i="4"/>
  <c r="H129" i="4"/>
  <c r="I129" i="4"/>
  <c r="J129" i="4"/>
  <c r="K129" i="4"/>
  <c r="G138" i="4"/>
  <c r="H138" i="4"/>
  <c r="I138" i="4"/>
  <c r="J138" i="4"/>
  <c r="K138" i="4"/>
  <c r="G139" i="4"/>
  <c r="H139" i="4"/>
  <c r="I139" i="4"/>
  <c r="J139" i="4"/>
  <c r="K139" i="4"/>
  <c r="G140" i="4"/>
  <c r="H140" i="4"/>
  <c r="I140" i="4"/>
  <c r="J140" i="4"/>
  <c r="K140" i="4"/>
  <c r="G142" i="4"/>
  <c r="H142" i="4"/>
  <c r="I142" i="4"/>
  <c r="J142" i="4"/>
  <c r="K142" i="4"/>
  <c r="H143" i="4"/>
  <c r="I143" i="4"/>
  <c r="J143" i="4"/>
  <c r="K143" i="4"/>
  <c r="G144" i="4"/>
  <c r="H144" i="4"/>
  <c r="I144" i="4"/>
  <c r="J144" i="4"/>
  <c r="K144" i="4"/>
  <c r="G146" i="4"/>
  <c r="H146" i="4"/>
  <c r="I146" i="4"/>
  <c r="J146" i="4"/>
  <c r="K146" i="4"/>
  <c r="G235" i="4"/>
  <c r="H235" i="4"/>
  <c r="I235" i="4"/>
  <c r="J235" i="4"/>
  <c r="K235" i="4"/>
  <c r="G236" i="4"/>
  <c r="H236" i="4"/>
  <c r="I236" i="4"/>
  <c r="J236" i="4"/>
  <c r="K236" i="4"/>
  <c r="G240" i="4"/>
  <c r="H240" i="4"/>
  <c r="I240" i="4"/>
  <c r="J240" i="4"/>
  <c r="K240" i="4"/>
  <c r="G241" i="4"/>
  <c r="H241" i="4"/>
  <c r="I241" i="4"/>
  <c r="J241" i="4"/>
  <c r="K241" i="4"/>
  <c r="H248" i="4"/>
  <c r="I248" i="4"/>
  <c r="J248" i="4"/>
  <c r="K248" i="4"/>
  <c r="G249" i="4"/>
  <c r="H249" i="4"/>
  <c r="I249" i="4"/>
  <c r="J249" i="4"/>
  <c r="K249" i="4"/>
  <c r="G250" i="4"/>
  <c r="H250" i="4"/>
  <c r="I250" i="4"/>
  <c r="J250" i="4"/>
  <c r="K250" i="4"/>
  <c r="G251" i="4"/>
  <c r="H251" i="4"/>
  <c r="I251" i="4"/>
  <c r="J251" i="4"/>
  <c r="K251" i="4"/>
  <c r="H254" i="4"/>
  <c r="I254" i="4"/>
  <c r="J254" i="4"/>
  <c r="K254" i="4"/>
  <c r="G255" i="4"/>
  <c r="H255" i="4"/>
  <c r="I255" i="4"/>
  <c r="J255" i="4"/>
  <c r="K255" i="4"/>
  <c r="G256" i="4"/>
  <c r="H256" i="4"/>
  <c r="I256" i="4"/>
  <c r="J256" i="4"/>
  <c r="K256" i="4"/>
  <c r="G257" i="4"/>
  <c r="H257" i="4"/>
  <c r="I257" i="4"/>
  <c r="J257" i="4"/>
  <c r="K25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Wall Street Prep</author>
  </authors>
  <commentList>
    <comment ref="I51" authorId="0" shapeId="0" xr:uid="{81B20A1A-D250-4AD4-9EB5-74BEF839178C}">
      <text>
        <r>
          <rPr>
            <b/>
            <sz val="9"/>
            <color indexed="81"/>
            <rFont val="Tahoma"/>
            <family val="2"/>
          </rPr>
          <t>Wall Street Prep:</t>
        </r>
        <r>
          <rPr>
            <sz val="9"/>
            <color indexed="81"/>
            <rFont val="Tahoma"/>
            <family val="2"/>
          </rPr>
          <t xml:space="preserve">
Implied g = [r -FCF(t)/TV]/(1+FCF(t)/TV)</t>
        </r>
      </text>
    </comment>
  </commentList>
</comments>
</file>

<file path=xl/sharedStrings.xml><?xml version="1.0" encoding="utf-8"?>
<sst xmlns="http://schemas.openxmlformats.org/spreadsheetml/2006/main" count="382" uniqueCount="298">
  <si>
    <t>Company Name</t>
  </si>
  <si>
    <t>Ticker</t>
  </si>
  <si>
    <t>Last Historical Year</t>
  </si>
  <si>
    <t>ASSETS</t>
  </si>
  <si>
    <t>Current Assets</t>
  </si>
  <si>
    <t>Total Current Assets</t>
  </si>
  <si>
    <t>Non-Current Assets</t>
  </si>
  <si>
    <t>Total Non-Current Assets</t>
  </si>
  <si>
    <t>Total Assets</t>
  </si>
  <si>
    <t>LIABILITIES AND EQUITY</t>
  </si>
  <si>
    <t>Current Liabilities</t>
  </si>
  <si>
    <t>Total Current Liabilities</t>
  </si>
  <si>
    <t>Non-Current Liabilities</t>
  </si>
  <si>
    <t>Total Non-Current Liabilities</t>
  </si>
  <si>
    <t>Total Liabilities</t>
  </si>
  <si>
    <t>Equity</t>
  </si>
  <si>
    <t>Total Equity</t>
  </si>
  <si>
    <t>Total Liabilites &amp; Equity</t>
  </si>
  <si>
    <t>Balance Check</t>
  </si>
  <si>
    <t>Cash Generated from Operations</t>
  </si>
  <si>
    <t>CASH FLOWS FROM INVESTING ACTIVITIES</t>
  </si>
  <si>
    <t>CASH FLOWS FROM FINANCING ACTIVITIES</t>
  </si>
  <si>
    <t>Reconciliation Check vs BS Cash</t>
  </si>
  <si>
    <t>Depreciation &amp; amortization</t>
  </si>
  <si>
    <t>EBITDA</t>
  </si>
  <si>
    <t>Revenue growth</t>
  </si>
  <si>
    <t>Tax rate</t>
  </si>
  <si>
    <t>Growth Rates &amp; Margins</t>
  </si>
  <si>
    <t>Latest Closing Share Price</t>
  </si>
  <si>
    <t>Latest Closing Share Price Date</t>
  </si>
  <si>
    <t>Shares outstanding</t>
  </si>
  <si>
    <t>PROPERTY, PLANT &amp; EQUIPMENT</t>
  </si>
  <si>
    <t>Beginning of period</t>
  </si>
  <si>
    <t>Plus: Capital expenditures</t>
  </si>
  <si>
    <t>Less: Depreciation</t>
  </si>
  <si>
    <t>End of period</t>
  </si>
  <si>
    <t>IMPUTING TOTAL DEPRECIATION &amp; AMORTIZATION</t>
  </si>
  <si>
    <t>D&amp;A not related to PP&amp;E</t>
  </si>
  <si>
    <t>as % of revenue</t>
  </si>
  <si>
    <t xml:space="preserve">Depreciation &amp; Amortization - Total </t>
  </si>
  <si>
    <t>% growth</t>
  </si>
  <si>
    <t>INCOME STATEMENT</t>
  </si>
  <si>
    <t xml:space="preserve">Fiscal year  </t>
  </si>
  <si>
    <t>Fiscal year end date</t>
  </si>
  <si>
    <t>BALANCE SHEET</t>
  </si>
  <si>
    <t>CASH FLOW STATEMENT</t>
  </si>
  <si>
    <t>Discounted Cash Flow Valuation</t>
  </si>
  <si>
    <t>Most recent fiscal year end</t>
  </si>
  <si>
    <t>Discount rate (WACC)</t>
  </si>
  <si>
    <t>Link from WACC</t>
  </si>
  <si>
    <t>End of first fiscal year</t>
  </si>
  <si>
    <t>Share price (Public Co)</t>
  </si>
  <si>
    <t>Most recent quarter end date</t>
  </si>
  <si>
    <t>Share price date</t>
  </si>
  <si>
    <t xml:space="preserve">Valuation date </t>
  </si>
  <si>
    <t>Portion of First Year Cash Flows</t>
  </si>
  <si>
    <t>Unlevered Free Cash Flows</t>
  </si>
  <si>
    <t>LTM</t>
  </si>
  <si>
    <t>Actual</t>
  </si>
  <si>
    <t>Forecasts</t>
  </si>
  <si>
    <t>Fiscal year ended</t>
  </si>
  <si>
    <t>Revenue</t>
  </si>
  <si>
    <t>% margin</t>
  </si>
  <si>
    <t>EBIT</t>
  </si>
  <si>
    <t>Tax on EBIT</t>
  </si>
  <si>
    <t>NOPAT (aka EBIAT)</t>
  </si>
  <si>
    <t>Changes in net working capital</t>
  </si>
  <si>
    <t>Capital expenditures</t>
  </si>
  <si>
    <t>Unlevered free cash flows (UFCF)</t>
  </si>
  <si>
    <t>Net working capital (WC Assets - WC liabilities)</t>
  </si>
  <si>
    <t>Val date</t>
  </si>
  <si>
    <t xml:space="preserve">Yr 1 - Stub </t>
  </si>
  <si>
    <t>Year 2</t>
  </si>
  <si>
    <t>Year 3</t>
  </si>
  <si>
    <t>Year 4</t>
  </si>
  <si>
    <t>Year 5</t>
  </si>
  <si>
    <t>Date for discounting cash flows</t>
  </si>
  <si>
    <t>Unlevered free cash flows (UFCF) stub adjusted</t>
  </si>
  <si>
    <t>Present value of of unlevered free cash flows</t>
  </si>
  <si>
    <t>Terminal value - growth in perpetuity approach</t>
  </si>
  <si>
    <t>Terminal value - EBITDA multiple approach</t>
  </si>
  <si>
    <t>Long term growth rate</t>
  </si>
  <si>
    <t>Terminal year EBITDA</t>
  </si>
  <si>
    <t>EBITDA multiple</t>
  </si>
  <si>
    <t>Present value of terminal value</t>
  </si>
  <si>
    <t>Present value of stage 1 cash flows</t>
  </si>
  <si>
    <t>Total enterprise value (TEV)</t>
  </si>
  <si>
    <t>Enterprise value (stage 1 + 2)</t>
  </si>
  <si>
    <t>Terminal value as % of TEV</t>
  </si>
  <si>
    <t>Stage 1 cash flows as % of TEV</t>
  </si>
  <si>
    <t>Cash flows as % of TEV</t>
  </si>
  <si>
    <t>Implied TV exit EBITDA multiple</t>
  </si>
  <si>
    <t>Implied terminal growth rate</t>
  </si>
  <si>
    <t>Net debt</t>
  </si>
  <si>
    <t>Source doc</t>
  </si>
  <si>
    <t>Source date</t>
  </si>
  <si>
    <t>Date</t>
  </si>
  <si>
    <t>Shares</t>
  </si>
  <si>
    <t>Gross debt and equivalents</t>
  </si>
  <si>
    <t>Basic shares</t>
  </si>
  <si>
    <t>Debt</t>
  </si>
  <si>
    <t>Restricted stock / RSUs</t>
  </si>
  <si>
    <t>Convertible debt</t>
  </si>
  <si>
    <t>Options / warrants</t>
  </si>
  <si>
    <t>Preferred stock</t>
  </si>
  <si>
    <t>Noncontrolling (minority) interests</t>
  </si>
  <si>
    <t>Convertible preferred stock</t>
  </si>
  <si>
    <t>Nonoperating assets</t>
  </si>
  <si>
    <t>Net diluted shares outstanding</t>
  </si>
  <si>
    <t xml:space="preserve">Cash </t>
  </si>
  <si>
    <t xml:space="preserve">Equity investments </t>
  </si>
  <si>
    <t>Valuation</t>
  </si>
  <si>
    <t>Perpetuity</t>
  </si>
  <si>
    <t>Enterprise value</t>
  </si>
  <si>
    <t xml:space="preserve">Equity value </t>
  </si>
  <si>
    <t>Equity value per share</t>
  </si>
  <si>
    <t>Last twelve months (LTM)</t>
  </si>
  <si>
    <t>EV / Revenue</t>
  </si>
  <si>
    <t xml:space="preserve">EV / EBITDA </t>
  </si>
  <si>
    <t>EV / EBIT</t>
  </si>
  <si>
    <t>Year 1</t>
  </si>
  <si>
    <t>Outputs</t>
  </si>
  <si>
    <t>LTM EBITDA multiple</t>
  </si>
  <si>
    <t>Long term growth rate (g):</t>
  </si>
  <si>
    <t>WACC:</t>
  </si>
  <si>
    <t xml:space="preserve">Data </t>
  </si>
  <si>
    <t>Tables</t>
  </si>
  <si>
    <t>Exit EBITDA Multiple</t>
  </si>
  <si>
    <t>Equity value range</t>
  </si>
  <si>
    <t>Football field</t>
  </si>
  <si>
    <t>Low</t>
  </si>
  <si>
    <t>Diff.</t>
  </si>
  <si>
    <t>High</t>
  </si>
  <si>
    <t>52 Week Market High/Low</t>
  </si>
  <si>
    <t>WACC Buildup</t>
  </si>
  <si>
    <t>Cost of capital assumptions</t>
  </si>
  <si>
    <t>Cost of debt</t>
  </si>
  <si>
    <t>Cost of debt (after tax)</t>
  </si>
  <si>
    <t xml:space="preserve">Risk free rate </t>
  </si>
  <si>
    <t xml:space="preserve">Beta </t>
  </si>
  <si>
    <t>Market risk premium</t>
  </si>
  <si>
    <t>Cost of equity</t>
  </si>
  <si>
    <t>Capital weights (capital structure)</t>
  </si>
  <si>
    <t xml:space="preserve">Target </t>
  </si>
  <si>
    <t xml:space="preserve">Current </t>
  </si>
  <si>
    <t>(override)</t>
  </si>
  <si>
    <t>% of total</t>
  </si>
  <si>
    <t>Cost of capital (WACC)</t>
  </si>
  <si>
    <t>CapEx % of revenue</t>
  </si>
  <si>
    <t>EBITDA margin %</t>
  </si>
  <si>
    <t>Implied Share Price</t>
  </si>
  <si>
    <t>Upside / (Downside)</t>
  </si>
  <si>
    <t>Finance costs</t>
  </si>
  <si>
    <t>Changes in Working Capital</t>
  </si>
  <si>
    <t>Net change in cash and cash equivalents</t>
  </si>
  <si>
    <t>Cash and cash equivalents at 1 January</t>
  </si>
  <si>
    <t>Cash and cash equivalents at 31 December</t>
  </si>
  <si>
    <t>WORKING CAPITAL SCHEDULE</t>
  </si>
  <si>
    <t>Operating Working Capital Assets</t>
  </si>
  <si>
    <t>Total Operating WC Assets</t>
  </si>
  <si>
    <t>Net Working Capital</t>
  </si>
  <si>
    <t>NWC as % of revenue</t>
  </si>
  <si>
    <t>Change in NWC (− = cash used)</t>
  </si>
  <si>
    <t>Operating Working Capital Liabilities</t>
  </si>
  <si>
    <t>Total Operating WC Liabilities</t>
  </si>
  <si>
    <t>DEBT &amp; INTEREST SCHEDULE</t>
  </si>
  <si>
    <t>Average debt</t>
  </si>
  <si>
    <t>Effective interest rate</t>
  </si>
  <si>
    <t>EQUITY &amp; NCI ROLL-FORWARD</t>
  </si>
  <si>
    <t>Retained Earnings</t>
  </si>
  <si>
    <t>Less: Dividends &amp; distributions</t>
  </si>
  <si>
    <t>End of period (= BS)</t>
  </si>
  <si>
    <t>Debt securities (optional cash asset)</t>
  </si>
  <si>
    <t>Operating cash flow before working capital</t>
  </si>
  <si>
    <t>Net cash flow from financing activities</t>
  </si>
  <si>
    <t>Net cash flows used in investing activities</t>
  </si>
  <si>
    <t>Net cash flows from operating activities</t>
  </si>
  <si>
    <t>PP&amp;E depreciation as % of revenue</t>
  </si>
  <si>
    <t>Consolidated FS 2025</t>
  </si>
  <si>
    <t>12/31/2025</t>
  </si>
  <si>
    <t>Gross Margin % of Revenue</t>
  </si>
  <si>
    <t>Midyear adjustment?</t>
  </si>
  <si>
    <t>WC DRIVERS (DAYS)</t>
  </si>
  <si>
    <t>DIO (days, off COGS)</t>
  </si>
  <si>
    <t>DSO (days, off revenue)</t>
  </si>
  <si>
    <t>DPO (days, off COGS)</t>
  </si>
  <si>
    <t>Plus: Additions</t>
  </si>
  <si>
    <t>Additions % revenue</t>
  </si>
  <si>
    <t>LEASE SCHEDULE</t>
  </si>
  <si>
    <t>ROU — Beginning</t>
  </si>
  <si>
    <t>ROU — End</t>
  </si>
  <si>
    <t>Lease liab — Beginning</t>
  </si>
  <si>
    <t>Lease liab — End</t>
  </si>
  <si>
    <t>ST share of liability</t>
  </si>
  <si>
    <t>Retained earnings</t>
  </si>
  <si>
    <t>Depreciation of property, plant and equipment</t>
  </si>
  <si>
    <t>Depreciation of right-of-use assets</t>
  </si>
  <si>
    <t>Paid to purchase property, plant and equipment</t>
  </si>
  <si>
    <t>Proceeds from short term borrowings</t>
  </si>
  <si>
    <t>Lease payments</t>
  </si>
  <si>
    <t>Paid dividends</t>
  </si>
  <si>
    <t>Dividend payout ratio % of Net Income</t>
  </si>
  <si>
    <t>Net income</t>
  </si>
  <si>
    <t>Total Debt</t>
  </si>
  <si>
    <t>Total</t>
  </si>
  <si>
    <t>Check vs IS (row 16)</t>
  </si>
  <si>
    <t>REVENUE BUILD BY SEGMENT (EGP)</t>
  </si>
  <si>
    <t>All amounts are shown in EGP, except per-share data, ratios, and shares outstanding</t>
  </si>
  <si>
    <t>Right of use assets</t>
  </si>
  <si>
    <t>Provisions</t>
  </si>
  <si>
    <t>Deferred tax liabilities</t>
  </si>
  <si>
    <t>Non-controlling interest</t>
  </si>
  <si>
    <t>Interest income</t>
  </si>
  <si>
    <t>Average earning assets</t>
  </si>
  <si>
    <t>Effective yield</t>
  </si>
  <si>
    <t>Finance income</t>
  </si>
  <si>
    <t>Net finance costs</t>
  </si>
  <si>
    <t>Interest-earning assets</t>
  </si>
  <si>
    <t>Non-controlling Interests</t>
  </si>
  <si>
    <t>Plus: NCI share of net income</t>
  </si>
  <si>
    <t>NCI % of total net income</t>
  </si>
  <si>
    <t>Plus: Net income to parent</t>
  </si>
  <si>
    <t>ROU</t>
  </si>
  <si>
    <t>Less: ROU Amortization</t>
  </si>
  <si>
    <t>ROU Amortization % revenue</t>
  </si>
  <si>
    <t>Additons</t>
  </si>
  <si>
    <t>Additons leases % revenue</t>
  </si>
  <si>
    <t>Less: Lease Cash Payments</t>
  </si>
  <si>
    <t>Lease Cash Payments % revenue</t>
  </si>
  <si>
    <t>Plus: Lease Interest Accrued</t>
  </si>
  <si>
    <t>Lease Interest Accrued % revenue</t>
  </si>
  <si>
    <t>Dividends paid to non-controlling interests</t>
  </si>
  <si>
    <t>Selling &amp; Distribution Expenses</t>
  </si>
  <si>
    <t>General &amp; Administrative Expenses</t>
  </si>
  <si>
    <t>Expected Credit Loss (ECL)</t>
  </si>
  <si>
    <t>Formed Provisions &amp; Impairment</t>
  </si>
  <si>
    <t>Provision No Longer Required</t>
  </si>
  <si>
    <t>Reverse of Impairment (Assets Held for Sale)</t>
  </si>
  <si>
    <t>Gain on Sale of Assets Held for Sale</t>
  </si>
  <si>
    <t>Capital Gain</t>
  </si>
  <si>
    <t>Other Operating Revenues</t>
  </si>
  <si>
    <t>Financial Investments Income</t>
  </si>
  <si>
    <t>Treasury Bills Returns</t>
  </si>
  <si>
    <t>Financial Assets at Amortized Cost Returns</t>
  </si>
  <si>
    <t>Interest Income</t>
  </si>
  <si>
    <t>Finance Expenses (Interest Expense)</t>
  </si>
  <si>
    <t>Foreign Exchange Differences</t>
  </si>
  <si>
    <t>Current Income Tax</t>
  </si>
  <si>
    <t>Deferred Tax</t>
  </si>
  <si>
    <t>Net Profit for the Year</t>
  </si>
  <si>
    <t>Net Profit Before Income Tax (EBT)</t>
  </si>
  <si>
    <t>Operating Profit (EBIT)</t>
  </si>
  <si>
    <t>Cost of Sales (COGS)</t>
  </si>
  <si>
    <t>Net Sales (Revenues)</t>
  </si>
  <si>
    <t>Gross Profit</t>
  </si>
  <si>
    <t>Non-controlling Interest</t>
  </si>
  <si>
    <t>Parent Company Shareholders</t>
  </si>
  <si>
    <t>Fixed assets (Net)</t>
  </si>
  <si>
    <t>Projects in progress</t>
  </si>
  <si>
    <t>Deferred tax assets</t>
  </si>
  <si>
    <t>Investments at fair value through OCI</t>
  </si>
  <si>
    <t>Inventory</t>
  </si>
  <si>
    <t>Trades and notes receivable</t>
  </si>
  <si>
    <t>Debtors and other debit accounts</t>
  </si>
  <si>
    <t>Assets held for sale</t>
  </si>
  <si>
    <t>Treasury bills</t>
  </si>
  <si>
    <t>Financial assets at amortized cost</t>
  </si>
  <si>
    <t>Financial assets at fair value through P&amp;L</t>
  </si>
  <si>
    <t>Cash at banks and on hand</t>
  </si>
  <si>
    <t>Banks-Credit accounts</t>
  </si>
  <si>
    <t>Lease contracts liabilities - current</t>
  </si>
  <si>
    <t>Long term liabilities - current portion</t>
  </si>
  <si>
    <t>Trades and notes payable</t>
  </si>
  <si>
    <t>Dividends payable</t>
  </si>
  <si>
    <t>Creditors and other credit accounts</t>
  </si>
  <si>
    <t>Tax payable</t>
  </si>
  <si>
    <t>Long term loans</t>
  </si>
  <si>
    <t>Lease contracts liabilities</t>
  </si>
  <si>
    <t>Issued and paid up capital</t>
  </si>
  <si>
    <t>Reserves</t>
  </si>
  <si>
    <t>Net profit for the period / year</t>
  </si>
  <si>
    <t>Exchange differences on translation</t>
  </si>
  <si>
    <t>Total equity attributable to parent</t>
  </si>
  <si>
    <t>Oriental Weavers</t>
  </si>
  <si>
    <t>ORWE.CA</t>
  </si>
  <si>
    <t>Egypt Segment Breakdown</t>
  </si>
  <si>
    <t>Woven</t>
  </si>
  <si>
    <t>Tufted</t>
  </si>
  <si>
    <t>Non-Woven</t>
  </si>
  <si>
    <t>Others</t>
  </si>
  <si>
    <t>International Segment Breakdown</t>
  </si>
  <si>
    <t>Egypt Segment %</t>
  </si>
  <si>
    <t>International Segment %</t>
  </si>
  <si>
    <t>Total Revenue</t>
  </si>
  <si>
    <t>Less: Dividends Paid to NCI</t>
  </si>
  <si>
    <t>NCI share % of net income</t>
  </si>
  <si>
    <t>Net change in working capital</t>
  </si>
  <si>
    <t>Lease Interest Accrued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</si>
</sst>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&quot;FY&quot;yy"/>
    <numFmt numFmtId="167" formatCode="0.0%"/>
    <numFmt numFmtId="168" formatCode="_(* #,##0.00_);_(* \(#,##0.00\);_(* \-??_);_(@_)"/>
    <numFmt numFmtId="169" formatCode="_(* #,##0_);_(* \(#,##0\);_(* \-??_);_(@_)"/>
    <numFmt numFmtId="170" formatCode="_(* #,##0_);_(* \(#,##0\);_(* \-_);_(@_)"/>
    <numFmt numFmtId="171" formatCode="_(* #,##0_);_(* \(#,##0\);_(* &quot;-&quot;??_);_(@_)"/>
    <numFmt numFmtId="172" formatCode="#,##0.000_);\(#,##0.000\)"/>
    <numFmt numFmtId="173" formatCode="m/d/yy;@"/>
    <numFmt numFmtId="174" formatCode="0\A;[Red]0\A"/>
    <numFmt numFmtId="175" formatCode="0\P_);\(0\P\)"/>
    <numFmt numFmtId="176" formatCode="0.0%_);\(0.0%\);@_)"/>
    <numFmt numFmtId="177" formatCode="_(#,##0.0%_);\(#,##0.0%\);_(&quot;–&quot;_)_%;_(@_)_%"/>
    <numFmt numFmtId="178" formatCode="0000\A"/>
    <numFmt numFmtId="179" formatCode="0000\P"/>
    <numFmt numFmtId="180" formatCode="#,##0_);\(#,##0\);@_)"/>
    <numFmt numFmtId="181" formatCode="0.0\x_);\(0.0\x\);@_)"/>
    <numFmt numFmtId="182" formatCode="0.000%_);\(0.000%\);@_)"/>
    <numFmt numFmtId="183" formatCode="#,##0.000_);\(#,##0.000\);@_)"/>
    <numFmt numFmtId="184" formatCode="_([$$]#,##0_)_%;\([$$]#,##0\)_%;_(&quot;–&quot;_)_%;_(@_)_%"/>
    <numFmt numFmtId="185" formatCode="&quot;$&quot;#,##0.00_);\(&quot;$&quot;#,##0.00\);@_)"/>
    <numFmt numFmtId="186" formatCode="_(0.0\x_)_';_(\(0.0\x\)_';_(&quot;–&quot;_)_%;_(@_)_%"/>
    <numFmt numFmtId="187" formatCode="_(0.0_)_'_x;_(\(0.0\)_';_(&quot;–&quot;_)_%;_(@_)_%"/>
    <numFmt numFmtId="188" formatCode="#,##0.00_);\(#,##0.00\);\-_);@_)"/>
    <numFmt numFmtId="189" formatCode="#,##0.0_);\(#,##0.0\);\-_);@_)"/>
    <numFmt numFmtId="190" formatCode="_(#,##0.00%_);\(#,##0.00%\);_(&quot;–&quot;_)_%;_(@_)_%"/>
    <numFmt numFmtId="191" formatCode="_(* #,##0.0_);_(* \(#,##0.0\);_(* \-??_);_(@_)"/>
    <numFmt numFmtId="192" formatCode="d/m/yy;@"/>
    <numFmt numFmtId="193" formatCode="[$-409]mmmmm/yy;@"/>
    <numFmt numFmtId="194" formatCode="[$EGP]\ #,##0.00_);[Red]\([$EGP]\ #,##0.00\)"/>
    <numFmt numFmtId="195" formatCode="&quot;EGP&quot;\ #,##0.00"/>
  </numFmts>
  <fonts count="4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4" tint="-0.249977111117893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name val="Times New Roman"/>
      <family val="1"/>
    </font>
    <font>
      <sz val="11"/>
      <color rgb="FF008000"/>
      <name val="Calibri"/>
      <family val="2"/>
      <scheme val="minor"/>
    </font>
    <font>
      <u/>
      <sz val="11"/>
      <color theme="1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4" tint="-0.249977111117893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00FF"/>
      <name val="Calibri"/>
      <family val="2"/>
    </font>
    <font>
      <b/>
      <i/>
      <sz val="11"/>
      <color theme="1"/>
      <name val="Calibri"/>
      <family val="2"/>
    </font>
    <font>
      <i/>
      <sz val="11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2F2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8" fontId="5" fillId="0" borderId="0"/>
    <xf numFmtId="9" fontId="5" fillId="0" borderId="0"/>
    <xf numFmtId="0" fontId="4" fillId="0" borderId="0"/>
    <xf numFmtId="37" fontId="20" fillId="0" borderId="0"/>
    <xf numFmtId="0" fontId="22" fillId="0" borderId="0" applyNumberFormat="0" applyFill="0" applyBorder="0" applyAlignment="0" applyProtection="0"/>
    <xf numFmtId="193" fontId="34" fillId="0" borderId="0"/>
  </cellStyleXfs>
  <cellXfs count="282">
    <xf numFmtId="0" fontId="0" fillId="0" borderId="0" xfId="0"/>
    <xf numFmtId="167" fontId="5" fillId="0" borderId="0" xfId="2" applyNumberFormat="1"/>
    <xf numFmtId="0" fontId="6" fillId="0" borderId="4" xfId="0" applyFont="1" applyBorder="1"/>
    <xf numFmtId="0" fontId="7" fillId="0" borderId="0" xfId="0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170" fontId="13" fillId="0" borderId="0" xfId="1" applyNumberFormat="1" applyFont="1"/>
    <xf numFmtId="0" fontId="14" fillId="0" borderId="1" xfId="0" applyFont="1" applyBorder="1"/>
    <xf numFmtId="169" fontId="14" fillId="0" borderId="1" xfId="1" applyNumberFormat="1" applyFont="1" applyBorder="1"/>
    <xf numFmtId="0" fontId="14" fillId="0" borderId="0" xfId="0" applyFont="1"/>
    <xf numFmtId="169" fontId="14" fillId="0" borderId="0" xfId="1" applyNumberFormat="1" applyFont="1"/>
    <xf numFmtId="167" fontId="10" fillId="0" borderId="0" xfId="2" applyNumberFormat="1" applyFont="1"/>
    <xf numFmtId="0" fontId="14" fillId="0" borderId="3" xfId="0" applyFont="1" applyBorder="1"/>
    <xf numFmtId="0" fontId="9" fillId="0" borderId="0" xfId="0" applyFont="1" applyAlignment="1">
      <alignment horizontal="left" indent="1"/>
    </xf>
    <xf numFmtId="169" fontId="9" fillId="0" borderId="0" xfId="0" applyNumberFormat="1" applyFont="1"/>
    <xf numFmtId="169" fontId="9" fillId="0" borderId="0" xfId="1" applyNumberFormat="1" applyFont="1"/>
    <xf numFmtId="0" fontId="16" fillId="0" borderId="2" xfId="0" applyFont="1" applyBorder="1"/>
    <xf numFmtId="169" fontId="14" fillId="0" borderId="2" xfId="1" applyNumberFormat="1" applyFont="1" applyBorder="1"/>
    <xf numFmtId="167" fontId="9" fillId="0" borderId="0" xfId="2" applyNumberFormat="1" applyFont="1"/>
    <xf numFmtId="1" fontId="9" fillId="0" borderId="0" xfId="2" applyNumberFormat="1" applyFont="1"/>
    <xf numFmtId="0" fontId="12" fillId="0" borderId="0" xfId="0" applyFont="1" applyAlignment="1">
      <alignment horizontal="left" indent="1"/>
    </xf>
    <xf numFmtId="169" fontId="14" fillId="0" borderId="0" xfId="0" applyNumberFormat="1" applyFont="1"/>
    <xf numFmtId="0" fontId="14" fillId="0" borderId="1" xfId="0" applyFont="1" applyBorder="1" applyAlignment="1">
      <alignment horizontal="left"/>
    </xf>
    <xf numFmtId="170" fontId="9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indent="2"/>
    </xf>
    <xf numFmtId="170" fontId="15" fillId="0" borderId="3" xfId="1" applyNumberFormat="1" applyFont="1" applyBorder="1"/>
    <xf numFmtId="0" fontId="17" fillId="0" borderId="0" xfId="0" applyFont="1"/>
    <xf numFmtId="0" fontId="11" fillId="0" borderId="0" xfId="0" applyFont="1"/>
    <xf numFmtId="0" fontId="17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2" fillId="0" borderId="0" xfId="0" applyFont="1"/>
    <xf numFmtId="170" fontId="12" fillId="0" borderId="0" xfId="0" applyNumberFormat="1" applyFont="1" applyAlignment="1">
      <alignment horizontal="center" vertical="center"/>
    </xf>
    <xf numFmtId="10" fontId="9" fillId="0" borderId="0" xfId="2" applyNumberFormat="1" applyFont="1"/>
    <xf numFmtId="0" fontId="14" fillId="0" borderId="3" xfId="0" applyFont="1" applyBorder="1" applyAlignment="1">
      <alignment horizontal="left"/>
    </xf>
    <xf numFmtId="0" fontId="6" fillId="0" borderId="6" xfId="0" applyFont="1" applyBorder="1"/>
    <xf numFmtId="0" fontId="0" fillId="0" borderId="6" xfId="0" applyBorder="1"/>
    <xf numFmtId="174" fontId="6" fillId="0" borderId="0" xfId="0" applyNumberFormat="1" applyFont="1"/>
    <xf numFmtId="175" fontId="6" fillId="0" borderId="0" xfId="0" applyNumberFormat="1" applyFont="1"/>
    <xf numFmtId="0" fontId="18" fillId="0" borderId="6" xfId="0" applyFont="1" applyBorder="1"/>
    <xf numFmtId="173" fontId="18" fillId="0" borderId="2" xfId="0" applyNumberFormat="1" applyFont="1" applyBorder="1"/>
    <xf numFmtId="0" fontId="15" fillId="0" borderId="0" xfId="0" applyFont="1"/>
    <xf numFmtId="173" fontId="18" fillId="0" borderId="6" xfId="0" applyNumberFormat="1" applyFont="1" applyBorder="1"/>
    <xf numFmtId="166" fontId="15" fillId="0" borderId="0" xfId="0" applyNumberFormat="1" applyFont="1" applyAlignment="1">
      <alignment horizontal="center" vertical="center"/>
    </xf>
    <xf numFmtId="0" fontId="0" fillId="0" borderId="3" xfId="0" applyBorder="1"/>
    <xf numFmtId="174" fontId="6" fillId="0" borderId="3" xfId="0" applyNumberFormat="1" applyFont="1" applyBorder="1"/>
    <xf numFmtId="175" fontId="6" fillId="0" borderId="3" xfId="0" applyNumberFormat="1" applyFont="1" applyBorder="1"/>
    <xf numFmtId="0" fontId="4" fillId="0" borderId="0" xfId="3"/>
    <xf numFmtId="0" fontId="6" fillId="0" borderId="4" xfId="3" applyFont="1" applyBorder="1"/>
    <xf numFmtId="0" fontId="4" fillId="0" borderId="4" xfId="3" applyBorder="1"/>
    <xf numFmtId="0" fontId="19" fillId="0" borderId="5" xfId="3" applyFont="1" applyBorder="1"/>
    <xf numFmtId="14" fontId="8" fillId="0" borderId="0" xfId="4" applyNumberFormat="1" applyFont="1" applyAlignment="1">
      <alignment horizontal="right"/>
    </xf>
    <xf numFmtId="176" fontId="21" fillId="0" borderId="0" xfId="3" applyNumberFormat="1" applyFont="1"/>
    <xf numFmtId="14" fontId="7" fillId="0" borderId="0" xfId="4" applyNumberFormat="1" applyFont="1" applyAlignment="1">
      <alignment horizontal="right"/>
    </xf>
    <xf numFmtId="14" fontId="8" fillId="0" borderId="0" xfId="3" applyNumberFormat="1" applyFont="1" applyAlignment="1">
      <alignment horizontal="right"/>
    </xf>
    <xf numFmtId="0" fontId="22" fillId="0" borderId="0" xfId="5" applyBorder="1"/>
    <xf numFmtId="177" fontId="7" fillId="0" borderId="0" xfId="3" applyNumberFormat="1" applyFont="1"/>
    <xf numFmtId="164" fontId="21" fillId="0" borderId="0" xfId="3" applyNumberFormat="1" applyFont="1" applyAlignment="1">
      <alignment horizontal="right"/>
    </xf>
    <xf numFmtId="0" fontId="6" fillId="0" borderId="7" xfId="3" applyFont="1" applyBorder="1"/>
    <xf numFmtId="0" fontId="4" fillId="0" borderId="7" xfId="3" applyBorder="1"/>
    <xf numFmtId="164" fontId="21" fillId="0" borderId="7" xfId="3" applyNumberFormat="1" applyFont="1" applyBorder="1" applyAlignment="1">
      <alignment horizontal="right"/>
    </xf>
    <xf numFmtId="0" fontId="23" fillId="0" borderId="0" xfId="3" applyFont="1" applyAlignment="1">
      <alignment horizontal="centerContinuous"/>
    </xf>
    <xf numFmtId="0" fontId="24" fillId="0" borderId="8" xfId="3" applyFont="1" applyBorder="1" applyAlignment="1">
      <alignment horizontal="centerContinuous"/>
    </xf>
    <xf numFmtId="0" fontId="18" fillId="0" borderId="0" xfId="3" applyFont="1"/>
    <xf numFmtId="14" fontId="4" fillId="0" borderId="0" xfId="3" applyNumberFormat="1" applyAlignment="1">
      <alignment horizontal="center"/>
    </xf>
    <xf numFmtId="180" fontId="7" fillId="0" borderId="0" xfId="3" applyNumberFormat="1" applyFont="1"/>
    <xf numFmtId="180" fontId="21" fillId="0" borderId="0" xfId="3" applyNumberFormat="1" applyFont="1"/>
    <xf numFmtId="0" fontId="4" fillId="0" borderId="0" xfId="3" applyAlignment="1">
      <alignment horizontal="left" indent="1"/>
    </xf>
    <xf numFmtId="0" fontId="6" fillId="0" borderId="0" xfId="3" applyFont="1"/>
    <xf numFmtId="180" fontId="25" fillId="0" borderId="0" xfId="3" applyNumberFormat="1" applyFont="1"/>
    <xf numFmtId="180" fontId="4" fillId="0" borderId="0" xfId="3" applyNumberFormat="1"/>
    <xf numFmtId="37" fontId="7" fillId="0" borderId="0" xfId="3" applyNumberFormat="1" applyFont="1"/>
    <xf numFmtId="180" fontId="21" fillId="0" borderId="7" xfId="3" applyNumberFormat="1" applyFont="1" applyBorder="1"/>
    <xf numFmtId="180" fontId="24" fillId="0" borderId="7" xfId="3" applyNumberFormat="1" applyFont="1" applyBorder="1" applyAlignment="1">
      <alignment horizontal="center"/>
    </xf>
    <xf numFmtId="180" fontId="24" fillId="0" borderId="0" xfId="3" applyNumberFormat="1" applyFont="1"/>
    <xf numFmtId="14" fontId="4" fillId="0" borderId="0" xfId="3" applyNumberFormat="1"/>
    <xf numFmtId="177" fontId="4" fillId="0" borderId="0" xfId="3" applyNumberFormat="1" applyAlignment="1">
      <alignment horizontal="center"/>
    </xf>
    <xf numFmtId="180" fontId="7" fillId="0" borderId="7" xfId="3" applyNumberFormat="1" applyFont="1" applyBorder="1"/>
    <xf numFmtId="0" fontId="25" fillId="0" borderId="0" xfId="3" applyFont="1"/>
    <xf numFmtId="177" fontId="8" fillId="0" borderId="0" xfId="3" applyNumberFormat="1" applyFont="1"/>
    <xf numFmtId="179" fontId="4" fillId="0" borderId="0" xfId="3" applyNumberFormat="1"/>
    <xf numFmtId="181" fontId="8" fillId="0" borderId="0" xfId="3" applyNumberFormat="1" applyFont="1"/>
    <xf numFmtId="180" fontId="6" fillId="0" borderId="0" xfId="3" applyNumberFormat="1" applyFont="1"/>
    <xf numFmtId="0" fontId="18" fillId="0" borderId="0" xfId="3" applyFont="1" applyAlignment="1">
      <alignment horizontal="left"/>
    </xf>
    <xf numFmtId="177" fontId="18" fillId="0" borderId="0" xfId="3" applyNumberFormat="1" applyFont="1"/>
    <xf numFmtId="182" fontId="18" fillId="0" borderId="0" xfId="3" applyNumberFormat="1" applyFont="1"/>
    <xf numFmtId="177" fontId="4" fillId="0" borderId="0" xfId="3" applyNumberFormat="1"/>
    <xf numFmtId="181" fontId="18" fillId="0" borderId="0" xfId="3" applyNumberFormat="1" applyFont="1"/>
    <xf numFmtId="176" fontId="4" fillId="0" borderId="0" xfId="3" quotePrefix="1" applyNumberFormat="1"/>
    <xf numFmtId="0" fontId="4" fillId="0" borderId="0" xfId="3" applyAlignment="1">
      <alignment horizontal="left"/>
    </xf>
    <xf numFmtId="0" fontId="26" fillId="0" borderId="0" xfId="3" applyFont="1"/>
    <xf numFmtId="0" fontId="26" fillId="0" borderId="0" xfId="3" applyFont="1" applyAlignment="1">
      <alignment horizontal="right"/>
    </xf>
    <xf numFmtId="0" fontId="26" fillId="0" borderId="0" xfId="3" applyFont="1" applyAlignment="1">
      <alignment horizontal="left" vertical="center"/>
    </xf>
    <xf numFmtId="14" fontId="7" fillId="0" borderId="0" xfId="3" applyNumberFormat="1" applyFont="1"/>
    <xf numFmtId="183" fontId="8" fillId="0" borderId="0" xfId="3" applyNumberFormat="1" applyFont="1"/>
    <xf numFmtId="172" fontId="8" fillId="0" borderId="0" xfId="3" applyNumberFormat="1" applyFont="1"/>
    <xf numFmtId="37" fontId="21" fillId="0" borderId="0" xfId="3" applyNumberFormat="1" applyFont="1"/>
    <xf numFmtId="0" fontId="7" fillId="0" borderId="0" xfId="3" applyFont="1" applyAlignment="1">
      <alignment horizontal="left" indent="1"/>
    </xf>
    <xf numFmtId="0" fontId="6" fillId="0" borderId="0" xfId="3" applyFont="1" applyAlignment="1">
      <alignment horizontal="left"/>
    </xf>
    <xf numFmtId="184" fontId="8" fillId="0" borderId="0" xfId="3" applyNumberFormat="1" applyFont="1"/>
    <xf numFmtId="0" fontId="4" fillId="0" borderId="0" xfId="3" applyAlignment="1">
      <alignment horizontal="left" vertical="center" indent="1"/>
    </xf>
    <xf numFmtId="172" fontId="4" fillId="0" borderId="0" xfId="3" applyNumberFormat="1"/>
    <xf numFmtId="183" fontId="27" fillId="0" borderId="0" xfId="3" applyNumberFormat="1" applyFont="1"/>
    <xf numFmtId="0" fontId="6" fillId="0" borderId="0" xfId="3" applyFont="1" applyAlignment="1">
      <alignment vertical="center"/>
    </xf>
    <xf numFmtId="0" fontId="23" fillId="0" borderId="0" xfId="3" applyFont="1" applyAlignment="1">
      <alignment horizontal="right"/>
    </xf>
    <xf numFmtId="180" fontId="4" fillId="0" borderId="0" xfId="3" applyNumberFormat="1" applyAlignment="1">
      <alignment horizontal="right"/>
    </xf>
    <xf numFmtId="37" fontId="18" fillId="0" borderId="7" xfId="3" applyNumberFormat="1" applyFont="1" applyBorder="1" applyAlignment="1">
      <alignment horizontal="right"/>
    </xf>
    <xf numFmtId="37" fontId="4" fillId="0" borderId="0" xfId="3" applyNumberFormat="1" applyAlignment="1">
      <alignment horizontal="right"/>
    </xf>
    <xf numFmtId="187" fontId="4" fillId="0" borderId="0" xfId="3" applyNumberFormat="1" applyAlignment="1">
      <alignment horizontal="right"/>
    </xf>
    <xf numFmtId="0" fontId="7" fillId="2" borderId="0" xfId="3" applyFont="1" applyFill="1"/>
    <xf numFmtId="0" fontId="28" fillId="0" borderId="0" xfId="3" applyFont="1" applyAlignment="1">
      <alignment horizontal="centerContinuous"/>
    </xf>
    <xf numFmtId="0" fontId="23" fillId="0" borderId="9" xfId="3" applyFont="1" applyBorder="1" applyAlignment="1">
      <alignment horizontal="centerContinuous"/>
    </xf>
    <xf numFmtId="0" fontId="4" fillId="0" borderId="0" xfId="3" applyAlignment="1">
      <alignment horizontal="centerContinuous"/>
    </xf>
    <xf numFmtId="0" fontId="4" fillId="0" borderId="9" xfId="3" applyBorder="1" applyAlignment="1">
      <alignment horizontal="centerContinuous"/>
    </xf>
    <xf numFmtId="0" fontId="4" fillId="0" borderId="0" xfId="3" applyAlignment="1">
      <alignment horizontal="right"/>
    </xf>
    <xf numFmtId="167" fontId="8" fillId="3" borderId="11" xfId="3" applyNumberFormat="1" applyFont="1" applyFill="1" applyBorder="1"/>
    <xf numFmtId="181" fontId="4" fillId="0" borderId="12" xfId="3" applyNumberFormat="1" applyBorder="1" applyAlignment="1">
      <alignment horizontal="right"/>
    </xf>
    <xf numFmtId="188" fontId="4" fillId="0" borderId="0" xfId="3" applyNumberFormat="1"/>
    <xf numFmtId="188" fontId="4" fillId="0" borderId="9" xfId="3" applyNumberFormat="1" applyBorder="1"/>
    <xf numFmtId="181" fontId="4" fillId="0" borderId="0" xfId="3" applyNumberFormat="1" applyAlignment="1">
      <alignment horizontal="right"/>
    </xf>
    <xf numFmtId="167" fontId="8" fillId="3" borderId="14" xfId="3" applyNumberFormat="1" applyFont="1" applyFill="1" applyBorder="1" applyAlignment="1">
      <alignment horizontal="right"/>
    </xf>
    <xf numFmtId="0" fontId="25" fillId="2" borderId="0" xfId="3" applyFont="1" applyFill="1" applyAlignment="1">
      <alignment horizontal="center"/>
    </xf>
    <xf numFmtId="189" fontId="4" fillId="0" borderId="0" xfId="3" applyNumberFormat="1"/>
    <xf numFmtId="181" fontId="8" fillId="3" borderId="11" xfId="3" applyNumberFormat="1" applyFont="1" applyFill="1" applyBorder="1"/>
    <xf numFmtId="0" fontId="4" fillId="0" borderId="9" xfId="3" applyBorder="1"/>
    <xf numFmtId="0" fontId="6" fillId="4" borderId="0" xfId="3" applyFont="1" applyFill="1"/>
    <xf numFmtId="0" fontId="6" fillId="4" borderId="9" xfId="3" applyFont="1" applyFill="1" applyBorder="1"/>
    <xf numFmtId="190" fontId="4" fillId="0" borderId="0" xfId="3" applyNumberFormat="1"/>
    <xf numFmtId="0" fontId="4" fillId="0" borderId="10" xfId="3" applyBorder="1"/>
    <xf numFmtId="0" fontId="4" fillId="0" borderId="11" xfId="3" applyBorder="1" applyAlignment="1">
      <alignment horizontal="right"/>
    </xf>
    <xf numFmtId="0" fontId="4" fillId="0" borderId="13" xfId="3" applyBorder="1" applyAlignment="1">
      <alignment horizontal="right"/>
    </xf>
    <xf numFmtId="0" fontId="4" fillId="0" borderId="11" xfId="3" applyBorder="1"/>
    <xf numFmtId="0" fontId="4" fillId="0" borderId="15" xfId="3" applyBorder="1"/>
    <xf numFmtId="177" fontId="7" fillId="0" borderId="0" xfId="0" applyNumberFormat="1" applyFont="1"/>
    <xf numFmtId="0" fontId="25" fillId="0" borderId="7" xfId="3" applyFont="1" applyBorder="1"/>
    <xf numFmtId="0" fontId="7" fillId="0" borderId="7" xfId="3" applyFont="1" applyBorder="1"/>
    <xf numFmtId="0" fontId="25" fillId="0" borderId="7" xfId="3" applyFont="1" applyBorder="1" applyAlignment="1">
      <alignment horizontal="right"/>
    </xf>
    <xf numFmtId="0" fontId="26" fillId="0" borderId="0" xfId="3" applyFont="1" applyAlignment="1">
      <alignment horizontal="left"/>
    </xf>
    <xf numFmtId="0" fontId="6" fillId="0" borderId="6" xfId="3" applyFont="1" applyBorder="1"/>
    <xf numFmtId="0" fontId="6" fillId="0" borderId="10" xfId="3" applyFont="1" applyBorder="1"/>
    <xf numFmtId="190" fontId="7" fillId="0" borderId="0" xfId="3" applyNumberFormat="1" applyFont="1"/>
    <xf numFmtId="10" fontId="8" fillId="0" borderId="7" xfId="3" applyNumberFormat="1" applyFont="1" applyBorder="1"/>
    <xf numFmtId="10" fontId="7" fillId="0" borderId="0" xfId="3" applyNumberFormat="1" applyFont="1"/>
    <xf numFmtId="167" fontId="7" fillId="0" borderId="0" xfId="3" applyNumberFormat="1" applyFont="1"/>
    <xf numFmtId="0" fontId="4" fillId="0" borderId="6" xfId="3" applyBorder="1"/>
    <xf numFmtId="167" fontId="24" fillId="0" borderId="0" xfId="3" applyNumberFormat="1" applyFont="1" applyAlignment="1">
      <alignment horizontal="right"/>
    </xf>
    <xf numFmtId="9" fontId="8" fillId="0" borderId="0" xfId="3" applyNumberFormat="1" applyFont="1"/>
    <xf numFmtId="176" fontId="4" fillId="0" borderId="0" xfId="3" applyNumberFormat="1"/>
    <xf numFmtId="9" fontId="7" fillId="0" borderId="0" xfId="3" applyNumberFormat="1" applyFont="1"/>
    <xf numFmtId="0" fontId="6" fillId="0" borderId="11" xfId="3" applyFont="1" applyBorder="1"/>
    <xf numFmtId="176" fontId="6" fillId="0" borderId="13" xfId="3" applyNumberFormat="1" applyFont="1" applyBorder="1"/>
    <xf numFmtId="180" fontId="7" fillId="0" borderId="0" xfId="0" applyNumberFormat="1" applyFont="1"/>
    <xf numFmtId="14" fontId="0" fillId="0" borderId="0" xfId="0" applyNumberFormat="1"/>
    <xf numFmtId="39" fontId="8" fillId="0" borderId="0" xfId="3" applyNumberFormat="1" applyFont="1"/>
    <xf numFmtId="170" fontId="15" fillId="0" borderId="0" xfId="1" applyNumberFormat="1" applyFont="1"/>
    <xf numFmtId="170" fontId="14" fillId="0" borderId="0" xfId="0" applyNumberFormat="1" applyFont="1"/>
    <xf numFmtId="185" fontId="0" fillId="0" borderId="6" xfId="0" applyNumberFormat="1" applyBorder="1" applyAlignment="1">
      <alignment horizontal="right"/>
    </xf>
    <xf numFmtId="185" fontId="0" fillId="0" borderId="12" xfId="0" applyNumberFormat="1" applyBorder="1"/>
    <xf numFmtId="181" fontId="29" fillId="3" borderId="11" xfId="3" applyNumberFormat="1" applyFont="1" applyFill="1" applyBorder="1"/>
    <xf numFmtId="0" fontId="0" fillId="0" borderId="16" xfId="0" quotePrefix="1" applyBorder="1"/>
    <xf numFmtId="39" fontId="0" fillId="0" borderId="0" xfId="0" applyNumberFormat="1"/>
    <xf numFmtId="39" fontId="0" fillId="0" borderId="17" xfId="0" applyNumberFormat="1" applyBorder="1"/>
    <xf numFmtId="0" fontId="0" fillId="0" borderId="16" xfId="0" applyBorder="1"/>
    <xf numFmtId="0" fontId="0" fillId="0" borderId="18" xfId="0" applyBorder="1"/>
    <xf numFmtId="39" fontId="0" fillId="0" borderId="6" xfId="0" applyNumberFormat="1" applyBorder="1"/>
    <xf numFmtId="39" fontId="7" fillId="0" borderId="6" xfId="0" applyNumberFormat="1" applyFont="1" applyBorder="1"/>
    <xf numFmtId="39" fontId="0" fillId="0" borderId="12" xfId="0" applyNumberFormat="1" applyBorder="1"/>
    <xf numFmtId="0" fontId="0" fillId="0" borderId="9" xfId="0" applyBorder="1"/>
    <xf numFmtId="39" fontId="7" fillId="0" borderId="0" xfId="0" applyNumberFormat="1" applyFont="1"/>
    <xf numFmtId="39" fontId="7" fillId="0" borderId="17" xfId="0" applyNumberFormat="1" applyFont="1" applyBorder="1"/>
    <xf numFmtId="0" fontId="0" fillId="0" borderId="19" xfId="0" applyBorder="1"/>
    <xf numFmtId="39" fontId="7" fillId="0" borderId="12" xfId="0" applyNumberFormat="1" applyFont="1" applyBorder="1"/>
    <xf numFmtId="178" fontId="6" fillId="0" borderId="20" xfId="3" applyNumberFormat="1" applyFont="1" applyBorder="1"/>
    <xf numFmtId="180" fontId="21" fillId="0" borderId="21" xfId="3" applyNumberFormat="1" applyFont="1" applyBorder="1"/>
    <xf numFmtId="9" fontId="5" fillId="0" borderId="21" xfId="2" applyBorder="1"/>
    <xf numFmtId="180" fontId="7" fillId="0" borderId="21" xfId="3" applyNumberFormat="1" applyFont="1" applyBorder="1"/>
    <xf numFmtId="176" fontId="21" fillId="0" borderId="21" xfId="3" applyNumberFormat="1" applyFont="1" applyBorder="1"/>
    <xf numFmtId="180" fontId="25" fillId="0" borderId="22" xfId="3" applyNumberFormat="1" applyFont="1" applyBorder="1"/>
    <xf numFmtId="179" fontId="6" fillId="0" borderId="23" xfId="3" applyNumberFormat="1" applyFont="1" applyBorder="1"/>
    <xf numFmtId="179" fontId="6" fillId="0" borderId="20" xfId="3" applyNumberFormat="1" applyFont="1" applyBorder="1"/>
    <xf numFmtId="14" fontId="19" fillId="0" borderId="5" xfId="3" applyNumberFormat="1" applyFont="1" applyBorder="1"/>
    <xf numFmtId="169" fontId="5" fillId="0" borderId="0" xfId="1" applyNumberFormat="1"/>
    <xf numFmtId="170" fontId="9" fillId="0" borderId="0" xfId="0" applyNumberFormat="1" applyFont="1" applyAlignment="1">
      <alignment horizontal="center" vertical="center"/>
    </xf>
    <xf numFmtId="170" fontId="0" fillId="0" borderId="0" xfId="0" applyNumberFormat="1"/>
    <xf numFmtId="169" fontId="31" fillId="0" borderId="0" xfId="1" applyNumberFormat="1" applyFont="1"/>
    <xf numFmtId="180" fontId="8" fillId="0" borderId="0" xfId="3" applyNumberFormat="1" applyFont="1"/>
    <xf numFmtId="3" fontId="6" fillId="0" borderId="0" xfId="3" applyNumberFormat="1" applyFont="1"/>
    <xf numFmtId="14" fontId="8" fillId="0" borderId="0" xfId="3" applyNumberFormat="1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167" fontId="7" fillId="3" borderId="14" xfId="0" applyNumberFormat="1" applyFont="1" applyFill="1" applyBorder="1" applyAlignment="1">
      <alignment horizontal="right"/>
    </xf>
    <xf numFmtId="167" fontId="7" fillId="3" borderId="24" xfId="0" applyNumberFormat="1" applyFont="1" applyFill="1" applyBorder="1" applyAlignment="1">
      <alignment horizontal="right"/>
    </xf>
    <xf numFmtId="167" fontId="7" fillId="3" borderId="10" xfId="0" applyNumberFormat="1" applyFont="1" applyFill="1" applyBorder="1"/>
    <xf numFmtId="167" fontId="7" fillId="3" borderId="11" xfId="0" applyNumberFormat="1" applyFont="1" applyFill="1" applyBorder="1"/>
    <xf numFmtId="191" fontId="5" fillId="0" borderId="0" xfId="1" applyNumberFormat="1"/>
    <xf numFmtId="0" fontId="14" fillId="0" borderId="0" xfId="0" applyFont="1" applyAlignment="1">
      <alignment horizontal="left"/>
    </xf>
    <xf numFmtId="171" fontId="13" fillId="0" borderId="0" xfId="0" applyNumberFormat="1" applyFont="1"/>
    <xf numFmtId="165" fontId="14" fillId="0" borderId="0" xfId="0" applyNumberFormat="1" applyFont="1" applyAlignment="1">
      <alignment horizontal="center" vertical="center"/>
    </xf>
    <xf numFmtId="165" fontId="12" fillId="0" borderId="0" xfId="1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165" fontId="15" fillId="0" borderId="0" xfId="1" applyNumberFormat="1" applyFont="1"/>
    <xf numFmtId="165" fontId="14" fillId="0" borderId="0" xfId="1" applyNumberFormat="1" applyFont="1"/>
    <xf numFmtId="165" fontId="12" fillId="0" borderId="0" xfId="0" applyNumberFormat="1" applyFont="1"/>
    <xf numFmtId="165" fontId="15" fillId="0" borderId="0" xfId="0" applyNumberFormat="1" applyFont="1" applyAlignment="1">
      <alignment horizontal="center" vertical="center"/>
    </xf>
    <xf numFmtId="9" fontId="5" fillId="0" borderId="0" xfId="2"/>
    <xf numFmtId="9" fontId="31" fillId="0" borderId="0" xfId="2" applyFont="1"/>
    <xf numFmtId="167" fontId="12" fillId="0" borderId="3" xfId="2" applyNumberFormat="1" applyFont="1" applyBorder="1"/>
    <xf numFmtId="167" fontId="7" fillId="0" borderId="0" xfId="0" applyNumberFormat="1" applyFont="1"/>
    <xf numFmtId="167" fontId="31" fillId="0" borderId="0" xfId="2" applyNumberFormat="1" applyFont="1"/>
    <xf numFmtId="170" fontId="14" fillId="0" borderId="0" xfId="0" applyNumberFormat="1" applyFont="1" applyAlignment="1">
      <alignment horizontal="center" vertical="center"/>
    </xf>
    <xf numFmtId="0" fontId="3" fillId="0" borderId="0" xfId="3" applyFont="1"/>
    <xf numFmtId="37" fontId="3" fillId="0" borderId="0" xfId="3" applyNumberFormat="1" applyFont="1" applyAlignment="1">
      <alignment horizontal="right"/>
    </xf>
    <xf numFmtId="169" fontId="14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69" fontId="15" fillId="0" borderId="0" xfId="1" applyNumberFormat="1" applyFont="1"/>
    <xf numFmtId="176" fontId="0" fillId="0" borderId="0" xfId="0" quotePrefix="1" applyNumberFormat="1"/>
    <xf numFmtId="167" fontId="7" fillId="3" borderId="25" xfId="0" applyNumberFormat="1" applyFont="1" applyFill="1" applyBorder="1"/>
    <xf numFmtId="181" fontId="7" fillId="0" borderId="0" xfId="3" applyNumberFormat="1" applyFont="1"/>
    <xf numFmtId="181" fontId="29" fillId="3" borderId="25" xfId="3" applyNumberFormat="1" applyFont="1" applyFill="1" applyBorder="1"/>
    <xf numFmtId="0" fontId="6" fillId="0" borderId="0" xfId="0" applyFont="1"/>
    <xf numFmtId="165" fontId="18" fillId="0" borderId="0" xfId="0" applyNumberFormat="1" applyFont="1"/>
    <xf numFmtId="169" fontId="12" fillId="0" borderId="0" xfId="1" applyNumberFormat="1" applyFont="1"/>
    <xf numFmtId="171" fontId="9" fillId="0" borderId="0" xfId="0" applyNumberFormat="1" applyFont="1"/>
    <xf numFmtId="167" fontId="9" fillId="0" borderId="0" xfId="2" applyNumberFormat="1" applyFont="1" applyAlignment="1">
      <alignment horizontal="left"/>
    </xf>
    <xf numFmtId="0" fontId="9" fillId="0" borderId="0" xfId="0" applyFont="1" applyAlignment="1">
      <alignment horizontal="left"/>
    </xf>
    <xf numFmtId="171" fontId="14" fillId="0" borderId="0" xfId="1" applyNumberFormat="1" applyFont="1"/>
    <xf numFmtId="0" fontId="16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192" fontId="18" fillId="0" borderId="2" xfId="0" applyNumberFormat="1" applyFont="1" applyBorder="1"/>
    <xf numFmtId="192" fontId="2" fillId="0" borderId="2" xfId="0" applyNumberFormat="1" applyFont="1" applyBorder="1" applyAlignment="1">
      <alignment horizontal="center"/>
    </xf>
    <xf numFmtId="170" fontId="14" fillId="0" borderId="3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left"/>
    </xf>
    <xf numFmtId="170" fontId="12" fillId="0" borderId="0" xfId="1" applyNumberFormat="1" applyFont="1"/>
    <xf numFmtId="170" fontId="13" fillId="0" borderId="0" xfId="0" applyNumberFormat="1" applyFont="1"/>
    <xf numFmtId="186" fontId="0" fillId="0" borderId="0" xfId="0" applyNumberFormat="1" applyAlignment="1">
      <alignment horizontal="right"/>
    </xf>
    <xf numFmtId="187" fontId="0" fillId="0" borderId="0" xfId="0" applyNumberFormat="1" applyAlignment="1">
      <alignment horizontal="right"/>
    </xf>
    <xf numFmtId="169" fontId="13" fillId="0" borderId="0" xfId="1" applyNumberFormat="1" applyFont="1"/>
    <xf numFmtId="1" fontId="9" fillId="0" borderId="0" xfId="0" applyNumberFormat="1" applyFont="1"/>
    <xf numFmtId="1" fontId="9" fillId="0" borderId="0" xfId="0" applyNumberFormat="1" applyFont="1" applyAlignment="1">
      <alignment horizontal="center" vertical="center"/>
    </xf>
    <xf numFmtId="0" fontId="18" fillId="0" borderId="0" xfId="0" applyFont="1"/>
    <xf numFmtId="173" fontId="18" fillId="0" borderId="0" xfId="0" applyNumberFormat="1" applyFont="1"/>
    <xf numFmtId="1" fontId="9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center"/>
    </xf>
    <xf numFmtId="167" fontId="13" fillId="0" borderId="0" xfId="2" applyNumberFormat="1" applyFont="1"/>
    <xf numFmtId="169" fontId="36" fillId="0" borderId="0" xfId="1" applyNumberFormat="1" applyFont="1" applyAlignment="1">
      <alignment horizontal="center" vertical="center"/>
    </xf>
    <xf numFmtId="0" fontId="9" fillId="0" borderId="6" xfId="0" applyFont="1" applyBorder="1"/>
    <xf numFmtId="192" fontId="1" fillId="0" borderId="2" xfId="0" applyNumberFormat="1" applyFont="1" applyBorder="1"/>
    <xf numFmtId="173" fontId="1" fillId="0" borderId="6" xfId="0" applyNumberFormat="1" applyFont="1" applyBorder="1"/>
    <xf numFmtId="0" fontId="12" fillId="0" borderId="0" xfId="0" applyFont="1" applyAlignment="1">
      <alignment horizontal="center" vertical="center"/>
    </xf>
    <xf numFmtId="173" fontId="1" fillId="0" borderId="2" xfId="0" applyNumberFormat="1" applyFont="1" applyBorder="1"/>
    <xf numFmtId="165" fontId="1" fillId="0" borderId="0" xfId="0" applyNumberFormat="1" applyFont="1"/>
    <xf numFmtId="165" fontId="12" fillId="0" borderId="0" xfId="0" applyNumberFormat="1" applyFont="1" applyAlignment="1">
      <alignment horizontal="center" vertical="center"/>
    </xf>
    <xf numFmtId="9" fontId="9" fillId="0" borderId="0" xfId="2" applyFont="1"/>
    <xf numFmtId="173" fontId="1" fillId="0" borderId="0" xfId="0" applyNumberFormat="1" applyFont="1"/>
    <xf numFmtId="194" fontId="8" fillId="0" borderId="0" xfId="0" applyNumberFormat="1" applyFont="1" applyAlignment="1">
      <alignment horizontal="center"/>
    </xf>
    <xf numFmtId="195" fontId="29" fillId="0" borderId="0" xfId="0" applyNumberFormat="1" applyFont="1" applyAlignment="1">
      <alignment horizontal="right" vertical="center"/>
    </xf>
    <xf numFmtId="195" fontId="8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65" fontId="15" fillId="0" borderId="3" xfId="1" applyNumberFormat="1" applyFont="1" applyBorder="1"/>
    <xf numFmtId="0" fontId="14" fillId="0" borderId="0" xfId="0" applyFont="1" applyAlignment="1">
      <alignment horizontal="left" indent="1"/>
    </xf>
    <xf numFmtId="43" fontId="12" fillId="0" borderId="0" xfId="0" applyNumberFormat="1" applyFont="1"/>
    <xf numFmtId="1" fontId="13" fillId="0" borderId="0" xfId="0" applyNumberFormat="1" applyFont="1" applyAlignment="1">
      <alignment horizontal="right" vertical="center"/>
    </xf>
    <xf numFmtId="10" fontId="5" fillId="0" borderId="0" xfId="2" applyNumberFormat="1"/>
    <xf numFmtId="10" fontId="31" fillId="0" borderId="0" xfId="2" applyNumberFormat="1" applyFont="1"/>
    <xf numFmtId="190" fontId="39" fillId="0" borderId="7" xfId="3" applyNumberFormat="1" applyFont="1" applyBorder="1"/>
    <xf numFmtId="9" fontId="4" fillId="0" borderId="0" xfId="3" applyNumberFormat="1"/>
    <xf numFmtId="169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13" fillId="0" borderId="0" xfId="1" applyNumberFormat="1" applyFont="1"/>
    <xf numFmtId="169" fontId="0" fillId="0" borderId="0" xfId="0" applyNumberFormat="1"/>
    <xf numFmtId="169" fontId="5" fillId="0" borderId="0" xfId="1" applyNumberFormat="1" applyAlignment="1">
      <alignment vertical="center"/>
    </xf>
    <xf numFmtId="194" fontId="8" fillId="0" borderId="0" xfId="0" applyNumberFormat="1" applyFont="1" applyAlignment="1">
      <alignment horizontal="right" vertical="center"/>
    </xf>
    <xf numFmtId="169" fontId="40" fillId="0" borderId="0" xfId="1" applyNumberFormat="1" applyFont="1"/>
    <xf numFmtId="10" fontId="8" fillId="0" borderId="0" xfId="3" applyNumberFormat="1" applyFont="1" applyAlignment="1">
      <alignment vertical="center"/>
    </xf>
    <xf numFmtId="181" fontId="8" fillId="0" borderId="0" xfId="3" applyNumberFormat="1" applyFont="1" applyAlignment="1">
      <alignment vertical="center"/>
    </xf>
    <xf numFmtId="190" fontId="21" fillId="0" borderId="7" xfId="3" applyNumberFormat="1" applyFont="1" applyBorder="1" applyAlignment="1">
      <alignment vertical="center"/>
    </xf>
    <xf numFmtId="168" fontId="5" fillId="0" borderId="0" xfId="1"/>
  </cellXfs>
  <cellStyles count="7">
    <cellStyle name="Comma" xfId="1" builtinId="3"/>
    <cellStyle name="Hyperlink" xfId="5" builtinId="8"/>
    <cellStyle name="Normal" xfId="0" builtinId="0"/>
    <cellStyle name="Normal 15" xfId="6" xr:uid="{6DDD7A4B-57F6-404C-BA97-B891B271587B}"/>
    <cellStyle name="Normal 2" xfId="3" xr:uid="{937EC6E3-AE83-4BBC-ACEF-6FAAD38BC45D}"/>
    <cellStyle name="Normal_DCF_Model" xfId="4" xr:uid="{EB47B55B-6DFA-4D8F-B164-61C0BEC4F72F}"/>
    <cellStyle name="Percent" xfId="2" builtinId="5"/>
  </cellStyles>
  <dxfs count="2">
    <dxf>
      <font>
        <b/>
        <i val="0"/>
      </font>
      <fill>
        <patternFill patternType="solid">
          <bgColor theme="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F4F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Equity Valuation Range 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4.9x-6.9x Exit EBITDA Range at 19.5% WACC</c:v>
                </c:pt>
                <c:pt idx="1">
                  <c:v>DCF Value at 9.0%-11.0% Perpetuity Range at 19.5%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DCF!$C$128:$C$130</c:f>
              <c:numCache>
                <c:formatCode>#,##0.00_);\(#,##0.00\)</c:formatCode>
                <c:ptCount val="3"/>
                <c:pt idx="0">
                  <c:v>26.187729290396366</c:v>
                </c:pt>
                <c:pt idx="1">
                  <c:v>27.150706865490555</c:v>
                </c:pt>
                <c:pt idx="2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3-4E91-8D66-944AAAC33F38}"/>
            </c:ext>
          </c:extLst>
        </c:ser>
        <c:ser>
          <c:idx val="1"/>
          <c:order val="1"/>
          <c:invertIfNegative val="0"/>
          <c:cat>
            <c:strRef>
              <c:f>DCF!$B$128:$B$130</c:f>
              <c:strCache>
                <c:ptCount val="3"/>
                <c:pt idx="0">
                  <c:v>DCF Value at 4.9x-6.9x Exit EBITDA Range at 19.5% WACC</c:v>
                </c:pt>
                <c:pt idx="1">
                  <c:v>DCF Value at 9.0%-11.0% Perpetuity Range at 19.5%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DCF!$D$128:$D$130</c:f>
              <c:numCache>
                <c:formatCode>#,##0.00_);\(#,##0.00\)</c:formatCode>
                <c:ptCount val="3"/>
                <c:pt idx="0">
                  <c:v>3.8448394150290426</c:v>
                </c:pt>
                <c:pt idx="1">
                  <c:v>2.2773400151305481</c:v>
                </c:pt>
                <c:pt idx="2">
                  <c:v>4.8099999999999987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3-4E91-8D66-944AAAC33F38}"/>
            </c:ext>
          </c:extLst>
        </c:ser>
        <c:ser>
          <c:idx val="2"/>
          <c:order val="2"/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DCF!$B$128:$B$130</c:f>
              <c:strCache>
                <c:ptCount val="3"/>
                <c:pt idx="0">
                  <c:v>DCF Value at 4.9x-6.9x Exit EBITDA Range at 19.5% WACC</c:v>
                </c:pt>
                <c:pt idx="1">
                  <c:v>DCF Value at 9.0%-11.0% Perpetuity Range at 19.5% WACC</c:v>
                </c:pt>
                <c:pt idx="2">
                  <c:v>52 Week Market High/Low</c:v>
                </c:pt>
              </c:strCache>
            </c:strRef>
          </c:cat>
          <c:val>
            <c:numRef>
              <c:f>DCF!$E$128:$E$130</c:f>
              <c:numCache>
                <c:formatCode>#,##0.00_);\(#,##0.00\)</c:formatCode>
                <c:ptCount val="3"/>
                <c:pt idx="0">
                  <c:v>30.032568705425408</c:v>
                </c:pt>
                <c:pt idx="1">
                  <c:v>29.428046880621103</c:v>
                </c:pt>
                <c:pt idx="2">
                  <c:v>25.11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3-4E91-8D66-944AAAC33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400"/>
          <c:min val="100"/>
        </c:scaling>
        <c:delete val="0"/>
        <c:axPos val="l"/>
        <c:numFmt formatCode="#,##0.00_);\(#,##0.00\)" sourceLinked="1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LTM EBITDA Multiple Range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9.0%-11.0% Perpetuity Growth at 19.5% WACC</c:v>
                </c:pt>
                <c:pt idx="1">
                  <c:v>LTM EBITDA Purchase Multiple at 4.9x-5.6x Exit EBITDA Multiple at 19.5% WACC</c:v>
                </c:pt>
                <c:pt idx="2">
                  <c:v>LTM EBITDA Purchase Multiple at 17.5%-21.5% WACC at 5.9x Exit EBITDA</c:v>
                </c:pt>
              </c:strCache>
            </c:strRef>
          </c:cat>
          <c:val>
            <c:numRef>
              <c:f>DCF!$O$128:$O$130</c:f>
              <c:numCache>
                <c:formatCode>#,##0.00_);\(#,##0.00\)</c:formatCode>
                <c:ptCount val="3"/>
                <c:pt idx="0">
                  <c:v>5.0715646340679914</c:v>
                </c:pt>
                <c:pt idx="1">
                  <c:v>4.9062513227710971</c:v>
                </c:pt>
                <c:pt idx="2">
                  <c:v>4.3269840865338622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5-4FE9-8BD7-0E0161403D7A}"/>
            </c:ext>
          </c:extLst>
        </c:ser>
        <c:ser>
          <c:idx val="1"/>
          <c:order val="1"/>
          <c:spPr>
            <a:solidFill>
              <a:schemeClr val="tx2"/>
            </a:solidFill>
          </c:spPr>
          <c:invertIfNegative val="0"/>
          <c:cat>
            <c:strRef>
              <c:f>DCF!$G$128:$G$130</c:f>
              <c:strCache>
                <c:ptCount val="3"/>
                <c:pt idx="0">
                  <c:v>LTM EBITDA Purchase Multiple at 9.0%-11.0% Perpetuity Growth at 19.5% WACC</c:v>
                </c:pt>
                <c:pt idx="1">
                  <c:v>LTM EBITDA Purchase Multiple at 4.9x-5.6x Exit EBITDA Multiple at 19.5% WACC</c:v>
                </c:pt>
                <c:pt idx="2">
                  <c:v>LTM EBITDA Purchase Multiple at 17.5%-21.5% WACC at 5.9x Exit EBITDA</c:v>
                </c:pt>
              </c:strCache>
            </c:strRef>
          </c:cat>
          <c:val>
            <c:numRef>
              <c:f>DCF!$P$128:$P$130</c:f>
              <c:numCache>
                <c:formatCode>#,##0.00_);\(#,##0.00\)</c:formatCode>
                <c:ptCount val="3"/>
                <c:pt idx="0">
                  <c:v>0.39094847957734302</c:v>
                </c:pt>
                <c:pt idx="1">
                  <c:v>0.66003939400260325</c:v>
                </c:pt>
                <c:pt idx="2">
                  <c:v>0.51919547959725687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5-4FE9-8BD7-0E0161403D7A}"/>
            </c:ext>
          </c:extLst>
        </c:ser>
        <c:ser>
          <c:idx val="2"/>
          <c:order val="2"/>
          <c:spPr>
            <a:noFill/>
          </c:spPr>
          <c:invertIfNegative val="0"/>
          <c:dLbls>
            <c:numFmt formatCode="#,##0.0\x;\-#,##0.0\x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DCF!$G$128:$G$130</c:f>
              <c:strCache>
                <c:ptCount val="3"/>
                <c:pt idx="0">
                  <c:v>LTM EBITDA Purchase Multiple at 9.0%-11.0% Perpetuity Growth at 19.5% WACC</c:v>
                </c:pt>
                <c:pt idx="1">
                  <c:v>LTM EBITDA Purchase Multiple at 4.9x-5.6x Exit EBITDA Multiple at 19.5% WACC</c:v>
                </c:pt>
                <c:pt idx="2">
                  <c:v>LTM EBITDA Purchase Multiple at 17.5%-21.5% WACC at 5.9x Exit EBITDA</c:v>
                </c:pt>
              </c:strCache>
            </c:strRef>
          </c:cat>
          <c:val>
            <c:numRef>
              <c:f>DCF!$Q$128:$Q$130</c:f>
              <c:numCache>
                <c:formatCode>#,##0.00_);\(#,##0.00\)</c:formatCode>
                <c:ptCount val="3"/>
                <c:pt idx="0">
                  <c:v>5.4625131136453344</c:v>
                </c:pt>
                <c:pt idx="1">
                  <c:v>5.5662907167737004</c:v>
                </c:pt>
                <c:pt idx="2">
                  <c:v>4.8461795661311191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D5-4FE9-8BD7-0E0161403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639680"/>
        <c:axId val="99641216"/>
      </c:barChart>
      <c:catAx>
        <c:axId val="99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9641216"/>
        <c:crosses val="autoZero"/>
        <c:auto val="1"/>
        <c:lblAlgn val="ctr"/>
        <c:lblOffset val="100"/>
        <c:noMultiLvlLbl val="0"/>
      </c:catAx>
      <c:valAx>
        <c:axId val="99641216"/>
        <c:scaling>
          <c:orientation val="minMax"/>
          <c:max val="20"/>
          <c:min val="10"/>
        </c:scaling>
        <c:delete val="0"/>
        <c:axPos val="l"/>
        <c:numFmt formatCode="#,##0.0\x;\-#,##0.0\x" sourceLinked="0"/>
        <c:majorTickMark val="out"/>
        <c:minorTickMark val="none"/>
        <c:tickLblPos val="nextTo"/>
        <c:crossAx val="996396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106</xdr:row>
      <xdr:rowOff>149424</xdr:rowOff>
    </xdr:from>
    <xdr:to>
      <xdr:col>4</xdr:col>
      <xdr:colOff>654844</xdr:colOff>
      <xdr:row>125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29BCA-2888-434E-AC7E-5B03FCA5B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47228</xdr:colOff>
      <xdr:row>106</xdr:row>
      <xdr:rowOff>149424</xdr:rowOff>
    </xdr:from>
    <xdr:to>
      <xdr:col>16</xdr:col>
      <xdr:colOff>1121</xdr:colOff>
      <xdr:row>125</xdr:row>
      <xdr:rowOff>47228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8233F-A324-4062-8E99-2AF6A530E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973C-64E9-46C3-8015-F083BA56F634}">
  <dimension ref="A1:L288"/>
  <sheetViews>
    <sheetView showGridLines="0" tabSelected="1" zoomScaleNormal="100" workbookViewId="0">
      <selection activeCell="D5" sqref="D5"/>
    </sheetView>
  </sheetViews>
  <sheetFormatPr defaultColWidth="9.140625" defaultRowHeight="15" x14ac:dyDescent="0.25"/>
  <cols>
    <col min="1" max="2" width="1.7109375" style="6" customWidth="1"/>
    <col min="3" max="3" width="66.42578125" style="6" bestFit="1" customWidth="1"/>
    <col min="4" max="4" width="17.140625" style="28" customWidth="1"/>
    <col min="5" max="11" width="17.140625" style="6" customWidth="1"/>
    <col min="12" max="12" width="2.7109375" style="6" customWidth="1"/>
    <col min="13" max="16384" width="9.140625" style="6"/>
  </cols>
  <sheetData>
    <row r="1" spans="3:11" ht="15" customHeight="1" thickBot="1" x14ac:dyDescent="0.3"/>
    <row r="2" spans="3:11" ht="15.75" thickBot="1" x14ac:dyDescent="0.3">
      <c r="C2" s="2" t="str">
        <f>Company_Name&amp;" - Financial Statement Model"</f>
        <v>Oriental Weavers - Financial Statement Model</v>
      </c>
      <c r="D2" s="8"/>
      <c r="E2" s="8"/>
      <c r="F2" s="8"/>
      <c r="G2" s="8"/>
      <c r="H2" s="8"/>
      <c r="I2" s="8"/>
      <c r="J2" s="8"/>
      <c r="K2" s="8"/>
    </row>
    <row r="3" spans="3:11" x14ac:dyDescent="0.25">
      <c r="C3" s="235" t="s">
        <v>207</v>
      </c>
      <c r="D3" s="9"/>
      <c r="E3" s="9"/>
      <c r="F3" s="9"/>
      <c r="G3" s="9"/>
      <c r="H3" s="9"/>
    </row>
    <row r="4" spans="3:11" ht="15" customHeight="1" x14ac:dyDescent="0.25"/>
    <row r="5" spans="3:11" x14ac:dyDescent="0.25">
      <c r="C5" s="3" t="s">
        <v>0</v>
      </c>
      <c r="D5" s="272" t="s">
        <v>283</v>
      </c>
    </row>
    <row r="6" spans="3:11" x14ac:dyDescent="0.25">
      <c r="C6" s="3" t="s">
        <v>1</v>
      </c>
      <c r="D6" s="4" t="s">
        <v>284</v>
      </c>
    </row>
    <row r="7" spans="3:11" x14ac:dyDescent="0.25">
      <c r="C7" s="6" t="s">
        <v>28</v>
      </c>
      <c r="D7" s="258">
        <v>23.48</v>
      </c>
    </row>
    <row r="8" spans="3:11" x14ac:dyDescent="0.25">
      <c r="C8" s="6" t="s">
        <v>29</v>
      </c>
      <c r="D8" s="5">
        <v>46190</v>
      </c>
    </row>
    <row r="9" spans="3:11" x14ac:dyDescent="0.25">
      <c r="C9" s="3" t="s">
        <v>2</v>
      </c>
      <c r="D9" s="5">
        <v>46022</v>
      </c>
    </row>
    <row r="10" spans="3:11" ht="15" customHeight="1" x14ac:dyDescent="0.25">
      <c r="C10" s="6" t="s">
        <v>30</v>
      </c>
      <c r="D10" s="248">
        <v>665107268</v>
      </c>
    </row>
    <row r="11" spans="3:11" ht="15" customHeight="1" x14ac:dyDescent="0.25"/>
    <row r="12" spans="3:11" customFormat="1" x14ac:dyDescent="0.25">
      <c r="C12" s="39" t="s">
        <v>41</v>
      </c>
      <c r="D12" s="249"/>
      <c r="E12" s="40"/>
      <c r="F12" s="40"/>
      <c r="G12" s="40"/>
      <c r="H12" s="40"/>
      <c r="I12" s="40"/>
      <c r="J12" s="40"/>
      <c r="K12" s="40"/>
    </row>
    <row r="13" spans="3:11" customFormat="1" x14ac:dyDescent="0.25">
      <c r="C13" t="s">
        <v>42</v>
      </c>
      <c r="D13" s="41">
        <f>E13-1</f>
        <v>2023</v>
      </c>
      <c r="E13" s="41">
        <f>F13-1</f>
        <v>2024</v>
      </c>
      <c r="F13" s="41">
        <f>YEAR(D9)</f>
        <v>2025</v>
      </c>
      <c r="G13" s="42">
        <f>F13+1</f>
        <v>2026</v>
      </c>
      <c r="H13" s="42">
        <f>G13+1</f>
        <v>2027</v>
      </c>
      <c r="I13" s="42">
        <f>H13+1</f>
        <v>2028</v>
      </c>
      <c r="J13" s="42">
        <f>I13+1</f>
        <v>2029</v>
      </c>
      <c r="K13" s="42">
        <f>J13+1</f>
        <v>2030</v>
      </c>
    </row>
    <row r="14" spans="3:11" customFormat="1" x14ac:dyDescent="0.25">
      <c r="C14" s="43" t="s">
        <v>43</v>
      </c>
      <c r="D14" s="250">
        <f>EOMONTH(E14,-12)</f>
        <v>45291</v>
      </c>
      <c r="E14" s="232">
        <f>EOMONTH(F14,-12)</f>
        <v>45657</v>
      </c>
      <c r="F14" s="232">
        <f>D9</f>
        <v>46022</v>
      </c>
      <c r="G14" s="232">
        <f>EOMONTH(F14,12)</f>
        <v>46387</v>
      </c>
      <c r="H14" s="232">
        <f>EOMONTH(G14,12)</f>
        <v>46752</v>
      </c>
      <c r="I14" s="232">
        <f>EOMONTH(H14,12)</f>
        <v>47118</v>
      </c>
      <c r="J14" s="232">
        <f>EOMONTH(I14,12)</f>
        <v>47483</v>
      </c>
      <c r="K14" s="232">
        <f>EOMONTH(J14,12)</f>
        <v>47848</v>
      </c>
    </row>
    <row r="15" spans="3:11" ht="15" customHeight="1" x14ac:dyDescent="0.25"/>
    <row r="16" spans="3:11" ht="15" customHeight="1" x14ac:dyDescent="0.25">
      <c r="C16" s="6" t="s">
        <v>253</v>
      </c>
      <c r="D16" s="10">
        <v>17658543016</v>
      </c>
      <c r="E16" s="10">
        <v>24288877875</v>
      </c>
      <c r="F16" s="10">
        <v>26622797999</v>
      </c>
      <c r="G16" s="236">
        <f>G183</f>
        <v>28494670000</v>
      </c>
      <c r="H16" s="236">
        <f t="shared" ref="H16:K16" si="0">H183</f>
        <v>30451784150.000004</v>
      </c>
      <c r="I16" s="236">
        <f t="shared" si="0"/>
        <v>32500681461.500004</v>
      </c>
      <c r="J16" s="236">
        <f t="shared" si="0"/>
        <v>34424825259.787506</v>
      </c>
      <c r="K16" s="236">
        <f t="shared" si="0"/>
        <v>36420560885.84581</v>
      </c>
    </row>
    <row r="17" spans="3:11" ht="15" customHeight="1" x14ac:dyDescent="0.25">
      <c r="C17" s="6" t="s">
        <v>252</v>
      </c>
      <c r="D17" s="10">
        <v>-15108838958</v>
      </c>
      <c r="E17" s="10">
        <v>-21185701953</v>
      </c>
      <c r="F17" s="10">
        <v>-23272535382</v>
      </c>
      <c r="G17" s="236">
        <f>G18-G16</f>
        <v>-24908847514.762451</v>
      </c>
      <c r="H17" s="236">
        <f t="shared" ref="H17:K17" si="1">H18-H16</f>
        <v>-26619674765.309101</v>
      </c>
      <c r="I17" s="236">
        <f t="shared" si="1"/>
        <v>-28410735012.911907</v>
      </c>
      <c r="J17" s="236">
        <f t="shared" si="1"/>
        <v>-30092740962.376114</v>
      </c>
      <c r="K17" s="236">
        <f t="shared" si="1"/>
        <v>-31837329490.31012</v>
      </c>
    </row>
    <row r="18" spans="3:11" s="13" customFormat="1" ht="15" customHeight="1" x14ac:dyDescent="0.25">
      <c r="C18" s="13" t="s">
        <v>254</v>
      </c>
      <c r="D18" s="14">
        <f>SUM(D16:D17)</f>
        <v>2549704058</v>
      </c>
      <c r="E18" s="14">
        <f t="shared" ref="E18:F18" si="2">SUM(E16:E17)</f>
        <v>3103175922</v>
      </c>
      <c r="F18" s="14">
        <f t="shared" si="2"/>
        <v>3350262617</v>
      </c>
      <c r="G18" s="14">
        <f>G16*G47</f>
        <v>3585822485.2375474</v>
      </c>
      <c r="H18" s="14">
        <f t="shared" ref="H18:K18" si="3">H16*H47</f>
        <v>3832109384.6909041</v>
      </c>
      <c r="I18" s="14">
        <f t="shared" si="3"/>
        <v>4089946448.588098</v>
      </c>
      <c r="J18" s="14">
        <f t="shared" si="3"/>
        <v>4332084297.4113941</v>
      </c>
      <c r="K18" s="14">
        <f t="shared" si="3"/>
        <v>4583231395.5356922</v>
      </c>
    </row>
    <row r="19" spans="3:11" s="15" customFormat="1" ht="15" customHeight="1" x14ac:dyDescent="0.25">
      <c r="C19" s="227" t="s">
        <v>232</v>
      </c>
      <c r="D19" s="240">
        <v>-208574673</v>
      </c>
      <c r="E19" s="188">
        <v>-254754592</v>
      </c>
      <c r="F19" s="188">
        <v>-299019544</v>
      </c>
      <c r="G19" s="225">
        <f ca="1">G$16*G48</f>
        <v>-318492367.85650301</v>
      </c>
      <c r="H19" s="225">
        <f t="shared" ref="H19:K19" ca="1" si="4">H$16*H48</f>
        <v>-340367543.80340707</v>
      </c>
      <c r="I19" s="225">
        <f t="shared" ca="1" si="4"/>
        <v>-363268604.11519372</v>
      </c>
      <c r="J19" s="225">
        <f t="shared" ca="1" si="4"/>
        <v>-384775261.8309347</v>
      </c>
      <c r="K19" s="225">
        <f t="shared" ca="1" si="4"/>
        <v>-407082120.10158283</v>
      </c>
    </row>
    <row r="20" spans="3:11" s="15" customFormat="1" ht="15" customHeight="1" x14ac:dyDescent="0.25">
      <c r="C20" s="227" t="s">
        <v>233</v>
      </c>
      <c r="D20" s="240">
        <v>-513145476</v>
      </c>
      <c r="E20" s="188">
        <v>-630066477</v>
      </c>
      <c r="F20" s="188">
        <v>-752483532</v>
      </c>
      <c r="G20" s="225">
        <f t="shared" ref="G20:K22" ca="1" si="5">G$16*G49</f>
        <v>-790864789.7865597</v>
      </c>
      <c r="H20" s="225">
        <f t="shared" ca="1" si="5"/>
        <v>-845184164.98297548</v>
      </c>
      <c r="I20" s="225">
        <f t="shared" ca="1" si="5"/>
        <v>-902050966.44281673</v>
      </c>
      <c r="J20" s="225">
        <f t="shared" ca="1" si="5"/>
        <v>-955455255.0536958</v>
      </c>
      <c r="K20" s="225">
        <f t="shared" ca="1" si="5"/>
        <v>-1010846562.8446668</v>
      </c>
    </row>
    <row r="21" spans="3:11" s="15" customFormat="1" ht="15" customHeight="1" x14ac:dyDescent="0.25">
      <c r="C21" s="227" t="s">
        <v>234</v>
      </c>
      <c r="D21" s="240">
        <v>-68304458</v>
      </c>
      <c r="E21" s="188">
        <v>-24331700</v>
      </c>
      <c r="F21" s="188">
        <v>-253260437</v>
      </c>
      <c r="G21" s="225">
        <f t="shared" ca="1" si="5"/>
        <v>-136610548.93671933</v>
      </c>
      <c r="H21" s="225">
        <f t="shared" ca="1" si="5"/>
        <v>-145993441.89050055</v>
      </c>
      <c r="I21" s="225">
        <f t="shared" ca="1" si="5"/>
        <v>-155816366.19315025</v>
      </c>
      <c r="J21" s="225">
        <f t="shared" ca="1" si="5"/>
        <v>-165041191.06451181</v>
      </c>
      <c r="K21" s="225">
        <f t="shared" ca="1" si="5"/>
        <v>-174609244.99910352</v>
      </c>
    </row>
    <row r="22" spans="3:11" s="15" customFormat="1" ht="15" customHeight="1" x14ac:dyDescent="0.25">
      <c r="C22" s="227" t="s">
        <v>235</v>
      </c>
      <c r="D22" s="240">
        <v>-98471317</v>
      </c>
      <c r="E22" s="188">
        <v>-145206693</v>
      </c>
      <c r="F22" s="188">
        <v>-150112954</v>
      </c>
      <c r="G22" s="225">
        <f t="shared" ca="1" si="5"/>
        <v>-163305273.56238922</v>
      </c>
      <c r="H22" s="225">
        <f t="shared" ca="1" si="5"/>
        <v>-174521654.08753914</v>
      </c>
      <c r="I22" s="225">
        <f t="shared" ca="1" si="5"/>
        <v>-186264051.38344574</v>
      </c>
      <c r="J22" s="225">
        <f t="shared" ca="1" si="5"/>
        <v>-197291476.13876718</v>
      </c>
      <c r="K22" s="225">
        <f t="shared" ca="1" si="5"/>
        <v>-208729199.48743755</v>
      </c>
    </row>
    <row r="23" spans="3:11" s="15" customFormat="1" ht="15" customHeight="1" x14ac:dyDescent="0.25">
      <c r="C23" s="227" t="s">
        <v>236</v>
      </c>
      <c r="D23" s="240">
        <v>0</v>
      </c>
      <c r="E23" s="188">
        <v>0</v>
      </c>
      <c r="F23" s="188">
        <v>25647760</v>
      </c>
      <c r="G23" s="225">
        <v>0</v>
      </c>
      <c r="H23" s="225">
        <v>0</v>
      </c>
      <c r="I23" s="225">
        <v>0</v>
      </c>
      <c r="J23" s="225">
        <v>0</v>
      </c>
      <c r="K23" s="225">
        <v>0</v>
      </c>
    </row>
    <row r="24" spans="3:11" s="15" customFormat="1" ht="15" customHeight="1" x14ac:dyDescent="0.25">
      <c r="C24" s="227" t="s">
        <v>237</v>
      </c>
      <c r="D24" s="240">
        <v>252358760</v>
      </c>
      <c r="E24" s="188">
        <v>0</v>
      </c>
      <c r="F24" s="188">
        <v>0</v>
      </c>
      <c r="G24" s="225">
        <v>0</v>
      </c>
      <c r="H24" s="225">
        <v>0</v>
      </c>
      <c r="I24" s="225">
        <v>0</v>
      </c>
      <c r="J24" s="225">
        <v>0</v>
      </c>
      <c r="K24" s="225">
        <v>0</v>
      </c>
    </row>
    <row r="25" spans="3:11" ht="15" customHeight="1" x14ac:dyDescent="0.25">
      <c r="C25" s="228" t="s">
        <v>238</v>
      </c>
      <c r="D25" s="240">
        <v>34761620</v>
      </c>
      <c r="E25" s="188">
        <v>0</v>
      </c>
      <c r="F25" s="188">
        <v>918596</v>
      </c>
      <c r="G25" s="225">
        <v>0</v>
      </c>
      <c r="H25" s="225">
        <v>0</v>
      </c>
      <c r="I25" s="225">
        <v>0</v>
      </c>
      <c r="J25" s="225">
        <v>0</v>
      </c>
      <c r="K25" s="225">
        <v>0</v>
      </c>
    </row>
    <row r="26" spans="3:11" ht="15" customHeight="1" x14ac:dyDescent="0.25">
      <c r="C26" s="228" t="s">
        <v>239</v>
      </c>
      <c r="D26" s="240">
        <v>24368149</v>
      </c>
      <c r="E26" s="188">
        <v>42177712</v>
      </c>
      <c r="F26" s="188">
        <v>14593979</v>
      </c>
      <c r="G26" s="225">
        <v>0</v>
      </c>
      <c r="H26" s="225">
        <v>0</v>
      </c>
      <c r="I26" s="225">
        <v>0</v>
      </c>
      <c r="J26" s="225">
        <v>0</v>
      </c>
      <c r="K26" s="225">
        <v>0</v>
      </c>
    </row>
    <row r="27" spans="3:11" ht="15" customHeight="1" x14ac:dyDescent="0.25">
      <c r="C27" s="228" t="s">
        <v>240</v>
      </c>
      <c r="D27" s="240">
        <v>329050807</v>
      </c>
      <c r="E27" s="188">
        <v>594252959</v>
      </c>
      <c r="F27" s="188">
        <v>454183569</v>
      </c>
      <c r="G27" s="225">
        <f ca="1">G$16*G52</f>
        <v>571413942.23200047</v>
      </c>
      <c r="H27" s="225">
        <f ca="1">H$16*H52</f>
        <v>610660661.42016912</v>
      </c>
      <c r="I27" s="225">
        <f ca="1">I$16*I52</f>
        <v>651747941.60248959</v>
      </c>
      <c r="J27" s="225">
        <f ca="1">J$16*J52</f>
        <v>690333494.38133276</v>
      </c>
      <c r="K27" s="225">
        <f ca="1">K$16*K52</f>
        <v>730354704.02295423</v>
      </c>
    </row>
    <row r="28" spans="3:11" ht="15" customHeight="1" x14ac:dyDescent="0.25">
      <c r="C28" s="198" t="s">
        <v>251</v>
      </c>
      <c r="D28" s="218">
        <f>SUM(D18:D27)</f>
        <v>2301747470</v>
      </c>
      <c r="E28" s="218">
        <f t="shared" ref="E28:K28" si="6">SUM(E18:E27)</f>
        <v>2685247131</v>
      </c>
      <c r="F28" s="218">
        <f t="shared" si="6"/>
        <v>2390730054</v>
      </c>
      <c r="G28" s="218">
        <f t="shared" ca="1" si="6"/>
        <v>2747963447.3273764</v>
      </c>
      <c r="H28" s="218">
        <f t="shared" ca="1" si="6"/>
        <v>2936703241.3466511</v>
      </c>
      <c r="I28" s="218">
        <f t="shared" ca="1" si="6"/>
        <v>3134294402.0559812</v>
      </c>
      <c r="J28" s="218">
        <f t="shared" ca="1" si="6"/>
        <v>3319854607.7048178</v>
      </c>
      <c r="K28" s="218">
        <f t="shared" ca="1" si="6"/>
        <v>3512318972.1258554</v>
      </c>
    </row>
    <row r="29" spans="3:11" ht="15" customHeight="1" x14ac:dyDescent="0.25">
      <c r="C29" s="228" t="s">
        <v>241</v>
      </c>
      <c r="D29" s="240">
        <v>51753278</v>
      </c>
      <c r="E29" s="188">
        <v>177096014</v>
      </c>
      <c r="F29" s="188">
        <v>18508874</v>
      </c>
      <c r="G29" s="225">
        <v>0</v>
      </c>
      <c r="H29" s="225">
        <v>0</v>
      </c>
      <c r="I29" s="225">
        <v>0</v>
      </c>
      <c r="J29" s="225">
        <v>0</v>
      </c>
      <c r="K29" s="225">
        <v>0</v>
      </c>
    </row>
    <row r="30" spans="3:11" ht="15" customHeight="1" x14ac:dyDescent="0.25">
      <c r="C30" s="228" t="s">
        <v>242</v>
      </c>
      <c r="D30" s="240">
        <v>240967663</v>
      </c>
      <c r="E30" s="188">
        <v>579166115</v>
      </c>
      <c r="F30" s="188">
        <v>430930850</v>
      </c>
      <c r="G30" s="225">
        <v>0</v>
      </c>
      <c r="H30" s="225">
        <v>0</v>
      </c>
      <c r="I30" s="225">
        <v>0</v>
      </c>
      <c r="J30" s="225">
        <v>0</v>
      </c>
      <c r="K30" s="225">
        <v>0</v>
      </c>
    </row>
    <row r="31" spans="3:11" ht="15" customHeight="1" x14ac:dyDescent="0.25">
      <c r="C31" s="228" t="s">
        <v>243</v>
      </c>
      <c r="D31" s="240">
        <v>15012317</v>
      </c>
      <c r="E31" s="188">
        <v>50722790</v>
      </c>
      <c r="F31" s="188">
        <v>131952040</v>
      </c>
      <c r="G31" s="225">
        <v>0</v>
      </c>
      <c r="H31" s="225">
        <v>0</v>
      </c>
      <c r="I31" s="225">
        <v>0</v>
      </c>
      <c r="J31" s="225">
        <v>0</v>
      </c>
      <c r="K31" s="225">
        <v>0</v>
      </c>
    </row>
    <row r="32" spans="3:11" ht="15" customHeight="1" x14ac:dyDescent="0.25">
      <c r="C32" s="228" t="s">
        <v>244</v>
      </c>
      <c r="D32" s="240">
        <v>101662197</v>
      </c>
      <c r="E32" s="188">
        <v>216179494</v>
      </c>
      <c r="F32" s="188">
        <v>253316404</v>
      </c>
      <c r="G32" s="225">
        <f ca="1">G240</f>
        <v>256134128.70065045</v>
      </c>
      <c r="H32" s="225">
        <f t="shared" ref="H32:K32" ca="1" si="7">H240</f>
        <v>239551469.64326504</v>
      </c>
      <c r="I32" s="225">
        <f t="shared" ca="1" si="7"/>
        <v>241384236.28241986</v>
      </c>
      <c r="J32" s="225">
        <f t="shared" ca="1" si="7"/>
        <v>246248530.60947952</v>
      </c>
      <c r="K32" s="225">
        <f t="shared" ca="1" si="7"/>
        <v>254330303.14714172</v>
      </c>
    </row>
    <row r="33" spans="3:11" ht="15" customHeight="1" x14ac:dyDescent="0.25">
      <c r="C33" s="228" t="s">
        <v>245</v>
      </c>
      <c r="D33" s="240">
        <v>-459366283</v>
      </c>
      <c r="E33" s="188">
        <v>-552552323</v>
      </c>
      <c r="F33" s="188">
        <v>-535526807</v>
      </c>
      <c r="G33" s="225">
        <f>G239</f>
        <v>-627027513.57611728</v>
      </c>
      <c r="H33" s="225">
        <f t="shared" ref="H33:K33" si="8">H239</f>
        <v>-631000944.25252569</v>
      </c>
      <c r="I33" s="225">
        <f t="shared" si="8"/>
        <v>-635160717.67725146</v>
      </c>
      <c r="J33" s="225">
        <f t="shared" si="8"/>
        <v>-639067210.30259812</v>
      </c>
      <c r="K33" s="225">
        <f t="shared" si="8"/>
        <v>-643119052.22432828</v>
      </c>
    </row>
    <row r="34" spans="3:11" ht="15" customHeight="1" x14ac:dyDescent="0.25">
      <c r="C34" s="228" t="s">
        <v>246</v>
      </c>
      <c r="D34" s="240">
        <v>-166163055</v>
      </c>
      <c r="E34" s="188">
        <v>-351533473</v>
      </c>
      <c r="F34" s="188">
        <v>-51440512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</row>
    <row r="35" spans="3:11" s="13" customFormat="1" ht="15" customHeight="1" x14ac:dyDescent="0.25">
      <c r="C35" s="13" t="s">
        <v>250</v>
      </c>
      <c r="D35" s="218">
        <f>SUM(D28:D34)</f>
        <v>2085613587</v>
      </c>
      <c r="E35" s="218">
        <f t="shared" ref="E35:K35" si="9">SUM(E28:E34)</f>
        <v>2804325748</v>
      </c>
      <c r="F35" s="218">
        <f t="shared" si="9"/>
        <v>2638470903</v>
      </c>
      <c r="G35" s="218">
        <f t="shared" ca="1" si="9"/>
        <v>2377070062.4519091</v>
      </c>
      <c r="H35" s="218">
        <f t="shared" ca="1" si="9"/>
        <v>2545253766.7373905</v>
      </c>
      <c r="I35" s="218">
        <f t="shared" ca="1" si="9"/>
        <v>2740517920.6611495</v>
      </c>
      <c r="J35" s="218">
        <f t="shared" ca="1" si="9"/>
        <v>2927035928.0116992</v>
      </c>
      <c r="K35" s="218">
        <f t="shared" ca="1" si="9"/>
        <v>3123530223.0486689</v>
      </c>
    </row>
    <row r="36" spans="3:11" ht="15" customHeight="1" x14ac:dyDescent="0.25">
      <c r="C36" s="6" t="s">
        <v>247</v>
      </c>
      <c r="D36" s="240">
        <v>-234454961</v>
      </c>
      <c r="E36" s="240">
        <v>-426367543</v>
      </c>
      <c r="F36" s="240">
        <v>-343889121</v>
      </c>
      <c r="G36" s="277">
        <f ca="1">G35*G53</f>
        <v>-260410357.0182794</v>
      </c>
      <c r="H36" s="277">
        <f ca="1">H35*H53</f>
        <v>-278835046.79476136</v>
      </c>
      <c r="I36" s="277">
        <f ca="1">I35*I53</f>
        <v>-300226426.39242816</v>
      </c>
      <c r="J36" s="277">
        <f ca="1">J35*J53</f>
        <v>-320659657.05387288</v>
      </c>
      <c r="K36" s="277">
        <f ca="1">K35*K53</f>
        <v>-342185799.81714183</v>
      </c>
    </row>
    <row r="37" spans="3:11" ht="15" customHeight="1" x14ac:dyDescent="0.25">
      <c r="C37" s="6" t="s">
        <v>248</v>
      </c>
      <c r="D37" s="240">
        <v>40823397</v>
      </c>
      <c r="E37" s="240">
        <v>163723612</v>
      </c>
      <c r="F37" s="240">
        <v>-31181909</v>
      </c>
      <c r="G37" s="277">
        <v>0</v>
      </c>
      <c r="H37" s="277">
        <v>0</v>
      </c>
      <c r="I37" s="277">
        <v>0</v>
      </c>
      <c r="J37" s="277">
        <v>0</v>
      </c>
      <c r="K37" s="277">
        <v>0</v>
      </c>
    </row>
    <row r="38" spans="3:11" ht="15" customHeight="1" x14ac:dyDescent="0.25">
      <c r="C38" s="13" t="s">
        <v>249</v>
      </c>
      <c r="D38" s="218">
        <f>SUM(D35:D37)</f>
        <v>1891982023</v>
      </c>
      <c r="E38" s="218">
        <f t="shared" ref="E38:G38" si="10">SUM(E35:E37)</f>
        <v>2541681817</v>
      </c>
      <c r="F38" s="218">
        <f t="shared" si="10"/>
        <v>2263399873</v>
      </c>
      <c r="G38" s="218">
        <f t="shared" ca="1" si="10"/>
        <v>2116659705.4336298</v>
      </c>
      <c r="H38" s="218">
        <f t="shared" ref="H38" ca="1" si="11">SUM(H35:H37)</f>
        <v>2266418719.9426293</v>
      </c>
      <c r="I38" s="218">
        <f t="shared" ref="I38" ca="1" si="12">SUM(I35:I37)</f>
        <v>2440291494.2687216</v>
      </c>
      <c r="J38" s="218">
        <f t="shared" ref="J38" ca="1" si="13">SUM(J35:J37)</f>
        <v>2606376270.9578261</v>
      </c>
      <c r="K38" s="218">
        <f t="shared" ref="K38" ca="1" si="14">SUM(K35:K37)</f>
        <v>2781344423.2315269</v>
      </c>
    </row>
    <row r="39" spans="3:11" ht="15" customHeight="1" x14ac:dyDescent="0.25">
      <c r="C39" s="6" t="s">
        <v>256</v>
      </c>
      <c r="D39" s="225">
        <f>D38-D40</f>
        <v>1740203598</v>
      </c>
      <c r="E39" s="225">
        <f t="shared" ref="E39:K39" si="15">E38-E40</f>
        <v>2192283305</v>
      </c>
      <c r="F39" s="225">
        <f t="shared" si="15"/>
        <v>2189343558</v>
      </c>
      <c r="G39" s="225">
        <f t="shared" ca="1" si="15"/>
        <v>2047404590.6996899</v>
      </c>
      <c r="H39" s="225">
        <f t="shared" ca="1" si="15"/>
        <v>2192263631.1100483</v>
      </c>
      <c r="I39" s="225">
        <f t="shared" ca="1" si="15"/>
        <v>2360447451.7965212</v>
      </c>
      <c r="J39" s="225">
        <f t="shared" ca="1" si="15"/>
        <v>2521098090.8036742</v>
      </c>
      <c r="K39" s="225">
        <f t="shared" ca="1" si="15"/>
        <v>2690341449.7015696</v>
      </c>
    </row>
    <row r="40" spans="3:11" ht="15" customHeight="1" x14ac:dyDescent="0.25">
      <c r="C40" s="6" t="s">
        <v>255</v>
      </c>
      <c r="D40" s="240">
        <v>151778425</v>
      </c>
      <c r="E40" s="240">
        <v>349398512</v>
      </c>
      <c r="F40" s="240">
        <v>74056315</v>
      </c>
      <c r="G40" s="226">
        <f ca="1">G255</f>
        <v>69255114.733939961</v>
      </c>
      <c r="H40" s="226">
        <f t="shared" ref="H40:K40" ca="1" si="16">H255</f>
        <v>74155088.832581252</v>
      </c>
      <c r="I40" s="226">
        <f t="shared" ca="1" si="16"/>
        <v>79844042.472200468</v>
      </c>
      <c r="J40" s="226">
        <f t="shared" ca="1" si="16"/>
        <v>85278180.154151723</v>
      </c>
      <c r="K40" s="226">
        <f t="shared" ca="1" si="16"/>
        <v>91002973.529957101</v>
      </c>
    </row>
    <row r="41" spans="3:11" ht="15" customHeight="1" x14ac:dyDescent="0.25">
      <c r="D41" s="14"/>
      <c r="E41" s="14"/>
      <c r="F41" s="14"/>
      <c r="G41" s="226"/>
      <c r="H41" s="229"/>
      <c r="I41" s="229"/>
      <c r="J41" s="229"/>
      <c r="K41" s="229"/>
    </row>
    <row r="42" spans="3:11" s="13" customFormat="1" ht="15" customHeight="1" x14ac:dyDescent="0.25">
      <c r="C42" s="230" t="s">
        <v>24</v>
      </c>
      <c r="D42" s="14">
        <f t="shared" ref="D42:K42" si="17">D28+D164</f>
        <v>3202947781</v>
      </c>
      <c r="E42" s="14">
        <f t="shared" si="17"/>
        <v>3981039203</v>
      </c>
      <c r="F42" s="14">
        <f t="shared" si="17"/>
        <v>3667611139</v>
      </c>
      <c r="G42" s="14">
        <f t="shared" ca="1" si="17"/>
        <v>4115983518.7901216</v>
      </c>
      <c r="H42" s="14">
        <f t="shared" ca="1" si="17"/>
        <v>4398683742.5790253</v>
      </c>
      <c r="I42" s="14">
        <f t="shared" ca="1" si="17"/>
        <v>4694641813.5385199</v>
      </c>
      <c r="J42" s="14">
        <f t="shared" ca="1" si="17"/>
        <v>4972579552.8256779</v>
      </c>
      <c r="K42" s="14">
        <f t="shared" ca="1" si="17"/>
        <v>5260858551.8356056</v>
      </c>
    </row>
    <row r="43" spans="3:11" ht="15" customHeight="1" x14ac:dyDescent="0.25">
      <c r="C43" s="231" t="s">
        <v>149</v>
      </c>
      <c r="D43" s="15">
        <f>D42/D16</f>
        <v>0.18138233590947353</v>
      </c>
      <c r="E43" s="15">
        <f t="shared" ref="E43:K43" si="18">E42/E16</f>
        <v>0.16390379265308072</v>
      </c>
      <c r="F43" s="15">
        <f t="shared" si="18"/>
        <v>0.13776204661650371</v>
      </c>
      <c r="G43" s="15">
        <f t="shared" ca="1" si="18"/>
        <v>0.14444748855803985</v>
      </c>
      <c r="H43" s="15">
        <f t="shared" ca="1" si="18"/>
        <v>0.14444748855803988</v>
      </c>
      <c r="I43" s="15">
        <f t="shared" ca="1" si="18"/>
        <v>0.14444748855803985</v>
      </c>
      <c r="J43" s="15">
        <f t="shared" ca="1" si="18"/>
        <v>0.14444748855803988</v>
      </c>
      <c r="K43" s="15">
        <f t="shared" ca="1" si="18"/>
        <v>0.14444748855803982</v>
      </c>
    </row>
    <row r="44" spans="3:11" ht="15" customHeight="1" x14ac:dyDescent="0.25">
      <c r="C44" s="17"/>
      <c r="D44" s="14"/>
      <c r="E44" s="14"/>
      <c r="F44" s="14"/>
      <c r="G44" s="197"/>
      <c r="H44" s="14"/>
      <c r="I44" s="14"/>
      <c r="J44" s="14"/>
      <c r="K44" s="14"/>
    </row>
    <row r="45" spans="3:11" ht="15" customHeight="1" x14ac:dyDescent="0.25">
      <c r="C45" s="20" t="s">
        <v>27</v>
      </c>
      <c r="D45" s="21"/>
      <c r="E45" s="21"/>
      <c r="F45" s="14"/>
      <c r="H45" s="21"/>
      <c r="I45" s="21"/>
      <c r="J45" s="21"/>
      <c r="K45" s="21"/>
    </row>
    <row r="46" spans="3:11" ht="15" customHeight="1" x14ac:dyDescent="0.25">
      <c r="C46" s="17" t="s">
        <v>25</v>
      </c>
      <c r="D46" s="210">
        <f>(D16/13255653997)-1</f>
        <v>0.33215177613993663</v>
      </c>
      <c r="E46" s="210">
        <f>E16/D16-1</f>
        <v>0.37547462737964321</v>
      </c>
      <c r="F46" s="210">
        <f t="shared" ref="F46:K46" si="19">F16/E16-1</f>
        <v>9.609007612501741E-2</v>
      </c>
      <c r="G46" s="210">
        <f t="shared" si="19"/>
        <v>7.0310866689155427E-2</v>
      </c>
      <c r="H46" s="210">
        <f t="shared" si="19"/>
        <v>6.8683516952468882E-2</v>
      </c>
      <c r="I46" s="210">
        <f t="shared" si="19"/>
        <v>6.7283325712789166E-2</v>
      </c>
      <c r="J46" s="210">
        <f t="shared" si="19"/>
        <v>5.920318318761475E-2</v>
      </c>
      <c r="K46" s="210">
        <f t="shared" si="19"/>
        <v>5.7973732938292333E-2</v>
      </c>
    </row>
    <row r="47" spans="3:11" ht="15" customHeight="1" x14ac:dyDescent="0.25">
      <c r="C47" s="17" t="s">
        <v>180</v>
      </c>
      <c r="D47" s="22">
        <f t="shared" ref="D47" si="20">D18/D16</f>
        <v>0.14438926562003285</v>
      </c>
      <c r="E47" s="22">
        <f t="shared" ref="E47:F47" si="21">E18/E16</f>
        <v>0.12776118921467466</v>
      </c>
      <c r="F47" s="22">
        <f t="shared" si="21"/>
        <v>0.12584186745231818</v>
      </c>
      <c r="G47" s="247">
        <f>F47</f>
        <v>0.12584186745231818</v>
      </c>
      <c r="H47" s="247">
        <f>G47</f>
        <v>0.12584186745231818</v>
      </c>
      <c r="I47" s="247">
        <f t="shared" ref="I47:K47" si="22">H47</f>
        <v>0.12584186745231818</v>
      </c>
      <c r="J47" s="247">
        <f t="shared" si="22"/>
        <v>0.12584186745231818</v>
      </c>
      <c r="K47" s="247">
        <f t="shared" si="22"/>
        <v>0.12584186745231818</v>
      </c>
    </row>
    <row r="48" spans="3:11" ht="15" customHeight="1" x14ac:dyDescent="0.25">
      <c r="C48" s="17" t="s">
        <v>232</v>
      </c>
      <c r="D48" s="22">
        <f>D19/D16</f>
        <v>-1.1811544860242166E-2</v>
      </c>
      <c r="E48" s="22">
        <f t="shared" ref="E48:F48" si="23">E19/E16</f>
        <v>-1.0488528671891146E-2</v>
      </c>
      <c r="F48" s="22">
        <f t="shared" si="23"/>
        <v>-1.1231709905594134E-2</v>
      </c>
      <c r="G48" s="247">
        <f t="shared" ref="G48:G52" ca="1" si="24">AVERAGE(D48:G48)</f>
        <v>-1.1177261145909148E-2</v>
      </c>
      <c r="H48" s="247">
        <f t="shared" ref="H48:K48" ca="1" si="25">G48</f>
        <v>-1.1177261145909148E-2</v>
      </c>
      <c r="I48" s="247">
        <f t="shared" ca="1" si="25"/>
        <v>-1.1177261145909148E-2</v>
      </c>
      <c r="J48" s="247">
        <f t="shared" ca="1" si="25"/>
        <v>-1.1177261145909148E-2</v>
      </c>
      <c r="K48" s="247">
        <f t="shared" ca="1" si="25"/>
        <v>-1.1177261145909148E-2</v>
      </c>
    </row>
    <row r="49" spans="3:11" ht="15" customHeight="1" x14ac:dyDescent="0.25">
      <c r="C49" s="17" t="s">
        <v>233</v>
      </c>
      <c r="D49" s="22">
        <f>D20/D16</f>
        <v>-2.9059332671730088E-2</v>
      </c>
      <c r="E49" s="22">
        <f t="shared" ref="E49:F49" si="26">E20/E16</f>
        <v>-2.5940534603639032E-2</v>
      </c>
      <c r="F49" s="22">
        <f t="shared" si="26"/>
        <v>-2.8264629887071398E-2</v>
      </c>
      <c r="G49" s="247">
        <f t="shared" ca="1" si="24"/>
        <v>-2.7754832387480173E-2</v>
      </c>
      <c r="H49" s="247">
        <f t="shared" ref="H49:K49" ca="1" si="27">G49</f>
        <v>-2.7754832387480173E-2</v>
      </c>
      <c r="I49" s="247">
        <f t="shared" ca="1" si="27"/>
        <v>-2.7754832387480173E-2</v>
      </c>
      <c r="J49" s="247">
        <f t="shared" ca="1" si="27"/>
        <v>-2.7754832387480173E-2</v>
      </c>
      <c r="K49" s="247">
        <f t="shared" ca="1" si="27"/>
        <v>-2.7754832387480173E-2</v>
      </c>
    </row>
    <row r="50" spans="3:11" ht="15" customHeight="1" x14ac:dyDescent="0.25">
      <c r="C50" s="17" t="s">
        <v>234</v>
      </c>
      <c r="D50" s="22">
        <f>D21/D16</f>
        <v>-3.868068726740983E-3</v>
      </c>
      <c r="E50" s="22">
        <f t="shared" ref="E50:F50" si="28">E21/E16</f>
        <v>-1.0017630343081463E-3</v>
      </c>
      <c r="F50" s="22">
        <f t="shared" si="28"/>
        <v>-9.5129158478952109E-3</v>
      </c>
      <c r="G50" s="247">
        <f t="shared" ca="1" si="24"/>
        <v>-4.7942492029814463E-3</v>
      </c>
      <c r="H50" s="247">
        <f t="shared" ref="H50:K50" ca="1" si="29">G50</f>
        <v>-4.7942492029814463E-3</v>
      </c>
      <c r="I50" s="247">
        <f t="shared" ca="1" si="29"/>
        <v>-4.7942492029814463E-3</v>
      </c>
      <c r="J50" s="247">
        <f t="shared" ca="1" si="29"/>
        <v>-4.7942492029814463E-3</v>
      </c>
      <c r="K50" s="247">
        <f t="shared" ca="1" si="29"/>
        <v>-4.7942492029814463E-3</v>
      </c>
    </row>
    <row r="51" spans="3:11" ht="15" customHeight="1" x14ac:dyDescent="0.25">
      <c r="C51" s="17" t="s">
        <v>235</v>
      </c>
      <c r="D51" s="22">
        <f>D22/D16</f>
        <v>-5.5764123297588819E-3</v>
      </c>
      <c r="E51" s="22">
        <f t="shared" ref="E51:F51" si="30">E22/E16</f>
        <v>-5.9783203549908749E-3</v>
      </c>
      <c r="F51" s="22">
        <f t="shared" si="30"/>
        <v>-5.6385115495989008E-3</v>
      </c>
      <c r="G51" s="247">
        <f t="shared" ca="1" si="24"/>
        <v>-5.7310814114495522E-3</v>
      </c>
      <c r="H51" s="247">
        <f t="shared" ref="H51:K51" ca="1" si="31">G51</f>
        <v>-5.7310814114495522E-3</v>
      </c>
      <c r="I51" s="247">
        <f t="shared" ca="1" si="31"/>
        <v>-5.7310814114495522E-3</v>
      </c>
      <c r="J51" s="247">
        <f t="shared" ca="1" si="31"/>
        <v>-5.7310814114495522E-3</v>
      </c>
      <c r="K51" s="247">
        <f t="shared" ca="1" si="31"/>
        <v>-5.7310814114495522E-3</v>
      </c>
    </row>
    <row r="52" spans="3:11" ht="15" customHeight="1" x14ac:dyDescent="0.25">
      <c r="C52" s="17" t="s">
        <v>240</v>
      </c>
      <c r="D52" s="22">
        <f>D27/D16</f>
        <v>1.8634085875706429E-2</v>
      </c>
      <c r="E52" s="22">
        <f>E27/E16</f>
        <v>2.4466052407124635E-2</v>
      </c>
      <c r="F52" s="22">
        <f>F27/F16</f>
        <v>1.7059948733302185E-2</v>
      </c>
      <c r="G52" s="247">
        <f t="shared" ca="1" si="24"/>
        <v>2.0053362338711082E-2</v>
      </c>
      <c r="H52" s="247">
        <f t="shared" ref="H52:K52" ca="1" si="32">G52</f>
        <v>2.0053362338711082E-2</v>
      </c>
      <c r="I52" s="247">
        <f t="shared" ca="1" si="32"/>
        <v>2.0053362338711082E-2</v>
      </c>
      <c r="J52" s="247">
        <f t="shared" ca="1" si="32"/>
        <v>2.0053362338711082E-2</v>
      </c>
      <c r="K52" s="247">
        <f t="shared" ca="1" si="32"/>
        <v>2.0053362338711082E-2</v>
      </c>
    </row>
    <row r="53" spans="3:11" ht="15" customHeight="1" x14ac:dyDescent="0.25">
      <c r="C53" s="17" t="s">
        <v>26</v>
      </c>
      <c r="D53" s="211">
        <f>SUM(D36:D37)/D35</f>
        <v>-9.2841533641197932E-2</v>
      </c>
      <c r="E53" s="211">
        <f>SUM(E36:E37)/E35</f>
        <v>-9.3656712736497685E-2</v>
      </c>
      <c r="F53" s="211">
        <f>SUM(F36:F37)/F35</f>
        <v>-0.14215469633321934</v>
      </c>
      <c r="G53" s="247">
        <f t="shared" ref="G53" ca="1" si="33">AVERAGE(D53:G53)</f>
        <v>-0.10955098090363831</v>
      </c>
      <c r="H53" s="247">
        <f t="shared" ref="H53:K53" ca="1" si="34">G53</f>
        <v>-0.10955098090363831</v>
      </c>
      <c r="I53" s="247">
        <f t="shared" ca="1" si="34"/>
        <v>-0.10955098090363831</v>
      </c>
      <c r="J53" s="247">
        <f t="shared" ca="1" si="34"/>
        <v>-0.10955098090363831</v>
      </c>
      <c r="K53" s="247">
        <f t="shared" ca="1" si="34"/>
        <v>-0.10955098090363831</v>
      </c>
    </row>
    <row r="54" spans="3:11" ht="15" customHeight="1" x14ac:dyDescent="0.25">
      <c r="C54" s="17"/>
      <c r="D54" s="23"/>
      <c r="E54" s="23"/>
      <c r="F54" s="23"/>
      <c r="G54" s="23"/>
      <c r="H54" s="23"/>
      <c r="I54" s="23"/>
      <c r="J54" s="23"/>
      <c r="K54" s="23"/>
    </row>
    <row r="55" spans="3:11" customFormat="1" x14ac:dyDescent="0.25">
      <c r="C55" s="39" t="s">
        <v>44</v>
      </c>
      <c r="D55" s="251"/>
      <c r="E55" s="46"/>
      <c r="F55" s="46"/>
      <c r="G55" s="40"/>
      <c r="H55" s="40"/>
      <c r="I55" s="40"/>
      <c r="J55" s="40"/>
      <c r="K55" s="40"/>
    </row>
    <row r="56" spans="3:11" customFormat="1" x14ac:dyDescent="0.25">
      <c r="C56" t="s">
        <v>42</v>
      </c>
      <c r="D56" s="41">
        <f>D$13</f>
        <v>2023</v>
      </c>
      <c r="E56" s="41">
        <f t="shared" ref="E56:K56" si="35">E$13</f>
        <v>2024</v>
      </c>
      <c r="F56" s="41">
        <f t="shared" si="35"/>
        <v>2025</v>
      </c>
      <c r="G56" s="42">
        <f t="shared" si="35"/>
        <v>2026</v>
      </c>
      <c r="H56" s="42">
        <f t="shared" si="35"/>
        <v>2027</v>
      </c>
      <c r="I56" s="42">
        <f t="shared" si="35"/>
        <v>2028</v>
      </c>
      <c r="J56" s="42">
        <f t="shared" si="35"/>
        <v>2029</v>
      </c>
      <c r="K56" s="42">
        <f t="shared" si="35"/>
        <v>2030</v>
      </c>
    </row>
    <row r="57" spans="3:11" customFormat="1" x14ac:dyDescent="0.25">
      <c r="C57" s="43" t="s">
        <v>43</v>
      </c>
      <c r="D57" s="250">
        <f>D$14</f>
        <v>45291</v>
      </c>
      <c r="E57" s="232">
        <f t="shared" ref="E57:K57" si="36">E$14</f>
        <v>45657</v>
      </c>
      <c r="F57" s="232">
        <f t="shared" si="36"/>
        <v>46022</v>
      </c>
      <c r="G57" s="232">
        <f t="shared" si="36"/>
        <v>46387</v>
      </c>
      <c r="H57" s="232">
        <f t="shared" si="36"/>
        <v>46752</v>
      </c>
      <c r="I57" s="232">
        <f t="shared" si="36"/>
        <v>47118</v>
      </c>
      <c r="J57" s="232">
        <f t="shared" si="36"/>
        <v>47483</v>
      </c>
      <c r="K57" s="232">
        <f t="shared" si="36"/>
        <v>47848</v>
      </c>
    </row>
    <row r="58" spans="3:11" s="35" customFormat="1" ht="15" customHeight="1" x14ac:dyDescent="0.25">
      <c r="C58" s="45" t="s">
        <v>3</v>
      </c>
    </row>
    <row r="59" spans="3:11" ht="15" customHeight="1" x14ac:dyDescent="0.25"/>
    <row r="60" spans="3:11" ht="15" customHeight="1" x14ac:dyDescent="0.25">
      <c r="C60" s="13" t="s">
        <v>4</v>
      </c>
    </row>
    <row r="61" spans="3:11" ht="15" customHeight="1" x14ac:dyDescent="0.25">
      <c r="C61" s="17" t="s">
        <v>261</v>
      </c>
      <c r="D61" s="10">
        <v>6927440585</v>
      </c>
      <c r="E61" s="10">
        <v>11460683769</v>
      </c>
      <c r="F61" s="10">
        <v>10152672252</v>
      </c>
      <c r="G61" s="185">
        <f>G203</f>
        <v>11920684270.506746</v>
      </c>
      <c r="H61" s="185">
        <f t="shared" ref="H61:K61" si="37">H203</f>
        <v>12739438790.685125</v>
      </c>
      <c r="I61" s="185">
        <f t="shared" si="37"/>
        <v>13596590600.236933</v>
      </c>
      <c r="J61" s="185">
        <f t="shared" si="37"/>
        <v>14401552044.269762</v>
      </c>
      <c r="K61" s="185">
        <f t="shared" si="37"/>
        <v>15236463776.381176</v>
      </c>
    </row>
    <row r="62" spans="3:11" ht="15" customHeight="1" x14ac:dyDescent="0.25">
      <c r="C62" s="17" t="s">
        <v>262</v>
      </c>
      <c r="D62" s="10">
        <v>3162570053</v>
      </c>
      <c r="E62" s="10">
        <v>4993106186</v>
      </c>
      <c r="F62" s="10">
        <v>4534598797</v>
      </c>
      <c r="G62" s="19">
        <f>G204</f>
        <v>5271467603.2650433</v>
      </c>
      <c r="H62" s="19">
        <f t="shared" ref="H62:K62" si="38">H204</f>
        <v>5633530537.7582874</v>
      </c>
      <c r="I62" s="19">
        <f t="shared" si="38"/>
        <v>6012573207.8432226</v>
      </c>
      <c r="J62" s="19">
        <f t="shared" si="38"/>
        <v>6368536680.8961096</v>
      </c>
      <c r="K62" s="19">
        <f t="shared" si="38"/>
        <v>6737744525.6421003</v>
      </c>
    </row>
    <row r="63" spans="3:11" ht="15" customHeight="1" x14ac:dyDescent="0.25">
      <c r="C63" s="17" t="s">
        <v>263</v>
      </c>
      <c r="D63" s="10">
        <v>714653249</v>
      </c>
      <c r="E63" s="10">
        <v>1246108062</v>
      </c>
      <c r="F63" s="10">
        <v>1371760380</v>
      </c>
      <c r="G63" s="19">
        <f>G205</f>
        <v>1468210041.2076449</v>
      </c>
      <c r="H63" s="19">
        <f t="shared" ref="H63:K63" si="39">H205</f>
        <v>1569051870.4627151</v>
      </c>
      <c r="I63" s="19">
        <f t="shared" si="39"/>
        <v>1674622898.523319</v>
      </c>
      <c r="J63" s="19">
        <f t="shared" si="39"/>
        <v>1773765904.7547698</v>
      </c>
      <c r="K63" s="19">
        <f t="shared" si="39"/>
        <v>1876597735.6120713</v>
      </c>
    </row>
    <row r="64" spans="3:11" ht="15" customHeight="1" x14ac:dyDescent="0.25">
      <c r="C64" s="17" t="s">
        <v>264</v>
      </c>
      <c r="D64" s="10">
        <v>0</v>
      </c>
      <c r="E64" s="10">
        <v>6753971</v>
      </c>
      <c r="F64" s="10">
        <v>69259868</v>
      </c>
      <c r="G64" s="19">
        <f>F64</f>
        <v>69259868</v>
      </c>
      <c r="H64" s="19">
        <f t="shared" ref="H64:K64" si="40">G64</f>
        <v>69259868</v>
      </c>
      <c r="I64" s="19">
        <f t="shared" si="40"/>
        <v>69259868</v>
      </c>
      <c r="J64" s="19">
        <f t="shared" si="40"/>
        <v>69259868</v>
      </c>
      <c r="K64" s="19">
        <f t="shared" si="40"/>
        <v>69259868</v>
      </c>
    </row>
    <row r="65" spans="3:11" ht="15" customHeight="1" x14ac:dyDescent="0.25">
      <c r="C65" s="17" t="s">
        <v>265</v>
      </c>
      <c r="D65" s="10">
        <v>2127279974</v>
      </c>
      <c r="E65" s="10">
        <v>1784491840</v>
      </c>
      <c r="F65" s="10">
        <v>805438717</v>
      </c>
      <c r="G65" s="19">
        <f>F65</f>
        <v>805438717</v>
      </c>
      <c r="H65" s="19">
        <f t="shared" ref="H65:K65" si="41">G65</f>
        <v>805438717</v>
      </c>
      <c r="I65" s="19">
        <f t="shared" si="41"/>
        <v>805438717</v>
      </c>
      <c r="J65" s="19">
        <f t="shared" si="41"/>
        <v>805438717</v>
      </c>
      <c r="K65" s="19">
        <f t="shared" si="41"/>
        <v>805438717</v>
      </c>
    </row>
    <row r="66" spans="3:11" ht="15" customHeight="1" x14ac:dyDescent="0.25">
      <c r="C66" s="17" t="s">
        <v>266</v>
      </c>
      <c r="D66" s="10">
        <v>628791306</v>
      </c>
      <c r="E66" s="10">
        <v>397440655</v>
      </c>
      <c r="F66" s="10">
        <v>492146156</v>
      </c>
      <c r="G66" s="19">
        <f>F66</f>
        <v>492146156</v>
      </c>
      <c r="H66" s="19">
        <f t="shared" ref="H66:K66" si="42">G66</f>
        <v>492146156</v>
      </c>
      <c r="I66" s="19">
        <f t="shared" si="42"/>
        <v>492146156</v>
      </c>
      <c r="J66" s="19">
        <f t="shared" si="42"/>
        <v>492146156</v>
      </c>
      <c r="K66" s="19">
        <f t="shared" si="42"/>
        <v>492146156</v>
      </c>
    </row>
    <row r="67" spans="3:11" ht="15" customHeight="1" x14ac:dyDescent="0.25">
      <c r="C67" s="17" t="s">
        <v>267</v>
      </c>
      <c r="D67" s="10">
        <v>0</v>
      </c>
      <c r="E67" s="10">
        <v>0</v>
      </c>
      <c r="F67" s="10">
        <v>903865786</v>
      </c>
      <c r="G67" s="19">
        <f>F67</f>
        <v>903865786</v>
      </c>
      <c r="H67" s="19">
        <f t="shared" ref="H67:K67" si="43">G67</f>
        <v>903865786</v>
      </c>
      <c r="I67" s="19">
        <f t="shared" si="43"/>
        <v>903865786</v>
      </c>
      <c r="J67" s="19">
        <f t="shared" si="43"/>
        <v>903865786</v>
      </c>
      <c r="K67" s="19">
        <f t="shared" si="43"/>
        <v>903865786</v>
      </c>
    </row>
    <row r="68" spans="3:11" ht="15" customHeight="1" x14ac:dyDescent="0.25">
      <c r="C68" s="17" t="s">
        <v>268</v>
      </c>
      <c r="D68" s="10">
        <v>1799725616</v>
      </c>
      <c r="E68" s="10">
        <v>4093643341</v>
      </c>
      <c r="F68" s="10">
        <v>4632540191</v>
      </c>
      <c r="G68" s="19">
        <f ca="1">G144</f>
        <v>3771264926.0325236</v>
      </c>
      <c r="H68" s="19">
        <f t="shared" ref="H68:K68" ca="1" si="44">H144</f>
        <v>3803407238.1307278</v>
      </c>
      <c r="I68" s="19">
        <f t="shared" ca="1" si="44"/>
        <v>3862903257.9902649</v>
      </c>
      <c r="J68" s="19">
        <f t="shared" ca="1" si="44"/>
        <v>4046621954.4837112</v>
      </c>
      <c r="K68" s="19">
        <f t="shared" ca="1" si="44"/>
        <v>4266991884.8733745</v>
      </c>
    </row>
    <row r="69" spans="3:11" ht="15" customHeight="1" x14ac:dyDescent="0.25">
      <c r="C69" s="11" t="s">
        <v>5</v>
      </c>
      <c r="D69" s="12">
        <f>SUM(D61:D68)</f>
        <v>15360460783</v>
      </c>
      <c r="E69" s="12">
        <f t="shared" ref="E69:G69" si="45">SUM(E61:E68)</f>
        <v>23982227824</v>
      </c>
      <c r="F69" s="12">
        <f t="shared" si="45"/>
        <v>22962282147</v>
      </c>
      <c r="G69" s="12">
        <f t="shared" ca="1" si="45"/>
        <v>24702337368.011959</v>
      </c>
      <c r="H69" s="12">
        <f t="shared" ref="H69:K69" ca="1" si="46">SUM(H61:H68)</f>
        <v>26016138964.036858</v>
      </c>
      <c r="I69" s="12">
        <f t="shared" ca="1" si="46"/>
        <v>27417400491.593739</v>
      </c>
      <c r="J69" s="12">
        <f t="shared" ca="1" si="46"/>
        <v>28861187111.40435</v>
      </c>
      <c r="K69" s="12">
        <f t="shared" ca="1" si="46"/>
        <v>30388508449.508724</v>
      </c>
    </row>
    <row r="70" spans="3:11" ht="15" customHeight="1" x14ac:dyDescent="0.25">
      <c r="E70" s="18"/>
      <c r="F70" s="18"/>
      <c r="G70" s="18"/>
      <c r="H70" s="18"/>
      <c r="I70" s="18"/>
      <c r="J70" s="18"/>
      <c r="K70" s="18"/>
    </row>
    <row r="71" spans="3:11" ht="15" customHeight="1" x14ac:dyDescent="0.25">
      <c r="C71" s="13" t="s">
        <v>6</v>
      </c>
      <c r="E71" s="18"/>
      <c r="F71" s="18"/>
      <c r="G71" s="18"/>
      <c r="H71" s="18"/>
      <c r="I71" s="18"/>
      <c r="J71" s="18"/>
      <c r="K71" s="18"/>
    </row>
    <row r="72" spans="3:11" ht="15" customHeight="1" x14ac:dyDescent="0.25">
      <c r="C72" s="24" t="s">
        <v>257</v>
      </c>
      <c r="D72" s="10">
        <v>6374016607</v>
      </c>
      <c r="E72" s="10">
        <v>8898631092</v>
      </c>
      <c r="F72" s="10">
        <v>8145992227</v>
      </c>
      <c r="G72" s="19">
        <f>G155</f>
        <v>7992646737.3435144</v>
      </c>
      <c r="H72" s="19">
        <f t="shared" ref="H72:K72" si="47">H155</f>
        <v>7828768940.1486216</v>
      </c>
      <c r="I72" s="19">
        <f t="shared" si="47"/>
        <v>7653864899.7479715</v>
      </c>
      <c r="J72" s="19">
        <f t="shared" si="47"/>
        <v>7468605983.4032278</v>
      </c>
      <c r="K72" s="19">
        <f t="shared" si="47"/>
        <v>7272606916.1178751</v>
      </c>
    </row>
    <row r="73" spans="3:11" ht="15" customHeight="1" x14ac:dyDescent="0.25">
      <c r="C73" s="17" t="s">
        <v>258</v>
      </c>
      <c r="D73" s="10">
        <v>269337810</v>
      </c>
      <c r="E73" s="10">
        <v>364395705</v>
      </c>
      <c r="F73" s="10">
        <v>432892831</v>
      </c>
      <c r="G73" s="19">
        <f>F73</f>
        <v>432892831</v>
      </c>
      <c r="H73" s="19">
        <f t="shared" ref="H73:K73" si="48">G73</f>
        <v>432892831</v>
      </c>
      <c r="I73" s="19">
        <f t="shared" si="48"/>
        <v>432892831</v>
      </c>
      <c r="J73" s="19">
        <f t="shared" si="48"/>
        <v>432892831</v>
      </c>
      <c r="K73" s="19">
        <f t="shared" si="48"/>
        <v>432892831</v>
      </c>
    </row>
    <row r="74" spans="3:11" ht="15" customHeight="1" x14ac:dyDescent="0.25">
      <c r="C74" s="17" t="s">
        <v>208</v>
      </c>
      <c r="D74" s="10">
        <v>455071409</v>
      </c>
      <c r="E74" s="10">
        <v>540749442</v>
      </c>
      <c r="F74" s="10">
        <v>518695424</v>
      </c>
      <c r="G74" s="19">
        <f>G270</f>
        <v>576355120.4160037</v>
      </c>
      <c r="H74" s="19">
        <f t="shared" ref="H74:K74" si="49">H270</f>
        <v>637975087.56827021</v>
      </c>
      <c r="I74" s="19">
        <f t="shared" si="49"/>
        <v>703741051.04085398</v>
      </c>
      <c r="J74" s="19">
        <f t="shared" si="49"/>
        <v>773400568.89641511</v>
      </c>
      <c r="K74" s="19">
        <f t="shared" si="49"/>
        <v>847098509.03674483</v>
      </c>
    </row>
    <row r="75" spans="3:11" ht="15" customHeight="1" x14ac:dyDescent="0.25">
      <c r="C75" s="17" t="s">
        <v>259</v>
      </c>
      <c r="D75" s="10">
        <v>0</v>
      </c>
      <c r="E75" s="10">
        <v>57080859</v>
      </c>
      <c r="F75" s="10">
        <v>8110231</v>
      </c>
      <c r="G75" s="19">
        <f>F75</f>
        <v>8110231</v>
      </c>
      <c r="H75" s="19">
        <f t="shared" ref="H75:K75" si="50">G75</f>
        <v>8110231</v>
      </c>
      <c r="I75" s="19">
        <f t="shared" si="50"/>
        <v>8110231</v>
      </c>
      <c r="J75" s="19">
        <f t="shared" si="50"/>
        <v>8110231</v>
      </c>
      <c r="K75" s="19">
        <f t="shared" si="50"/>
        <v>8110231</v>
      </c>
    </row>
    <row r="76" spans="3:11" ht="15" customHeight="1" x14ac:dyDescent="0.25">
      <c r="C76" s="17" t="s">
        <v>260</v>
      </c>
      <c r="D76" s="10">
        <v>649105349</v>
      </c>
      <c r="E76" s="10">
        <v>1061481664</v>
      </c>
      <c r="F76" s="10">
        <v>1010593966</v>
      </c>
      <c r="G76" s="19">
        <f>F76</f>
        <v>1010593966</v>
      </c>
      <c r="H76" s="19">
        <f t="shared" ref="H76:K76" si="51">G76</f>
        <v>1010593966</v>
      </c>
      <c r="I76" s="19">
        <f t="shared" si="51"/>
        <v>1010593966</v>
      </c>
      <c r="J76" s="19">
        <f t="shared" si="51"/>
        <v>1010593966</v>
      </c>
      <c r="K76" s="19">
        <f t="shared" si="51"/>
        <v>1010593966</v>
      </c>
    </row>
    <row r="77" spans="3:11" ht="15" customHeight="1" x14ac:dyDescent="0.25">
      <c r="C77" s="11" t="s">
        <v>7</v>
      </c>
      <c r="D77" s="12">
        <f>SUM(D72:D76)</f>
        <v>7747531175</v>
      </c>
      <c r="E77" s="12">
        <f t="shared" ref="E77:G77" si="52">SUM(E72:E76)</f>
        <v>10922338762</v>
      </c>
      <c r="F77" s="12">
        <f t="shared" si="52"/>
        <v>10116284679</v>
      </c>
      <c r="G77" s="12">
        <f t="shared" si="52"/>
        <v>10020598885.759518</v>
      </c>
      <c r="H77" s="12">
        <f t="shared" ref="H77:K77" si="53">SUM(H72:H76)</f>
        <v>9918341055.7168922</v>
      </c>
      <c r="I77" s="12">
        <f t="shared" si="53"/>
        <v>9809202978.788826</v>
      </c>
      <c r="J77" s="12">
        <f t="shared" si="53"/>
        <v>9693603580.2996426</v>
      </c>
      <c r="K77" s="12">
        <f t="shared" si="53"/>
        <v>9571302453.1546211</v>
      </c>
    </row>
    <row r="78" spans="3:11" ht="15" customHeight="1" x14ac:dyDescent="0.25">
      <c r="E78" s="19"/>
      <c r="F78" s="19"/>
      <c r="G78" s="19"/>
      <c r="H78" s="19"/>
      <c r="I78" s="19"/>
      <c r="J78" s="19"/>
      <c r="K78" s="19"/>
    </row>
    <row r="79" spans="3:11" ht="15" customHeight="1" x14ac:dyDescent="0.25">
      <c r="C79" s="13" t="s">
        <v>8</v>
      </c>
      <c r="D79" s="14">
        <f>D69+D77</f>
        <v>23107991958</v>
      </c>
      <c r="E79" s="14">
        <f t="shared" ref="E79:G79" si="54">E69+E77</f>
        <v>34904566586</v>
      </c>
      <c r="F79" s="14">
        <f t="shared" si="54"/>
        <v>33078566826</v>
      </c>
      <c r="G79" s="14">
        <f t="shared" ca="1" si="54"/>
        <v>34722936253.771477</v>
      </c>
      <c r="H79" s="14">
        <f t="shared" ref="H79:K79" ca="1" si="55">H69+H77</f>
        <v>35934480019.753754</v>
      </c>
      <c r="I79" s="14">
        <f t="shared" ca="1" si="55"/>
        <v>37226603470.382568</v>
      </c>
      <c r="J79" s="14">
        <f t="shared" ca="1" si="55"/>
        <v>38554790691.703995</v>
      </c>
      <c r="K79" s="14">
        <f t="shared" ca="1" si="55"/>
        <v>39959810902.663345</v>
      </c>
    </row>
    <row r="80" spans="3:11" ht="15" customHeight="1" x14ac:dyDescent="0.25">
      <c r="E80" s="18"/>
      <c r="F80" s="18"/>
      <c r="G80" s="18"/>
      <c r="H80" s="18"/>
      <c r="I80" s="18"/>
      <c r="J80" s="18"/>
      <c r="K80" s="18"/>
    </row>
    <row r="81" spans="3:12" s="35" customFormat="1" ht="15" customHeight="1" x14ac:dyDescent="0.25">
      <c r="C81" s="45" t="s">
        <v>9</v>
      </c>
      <c r="D81" s="252"/>
      <c r="E81" s="47"/>
      <c r="F81" s="47"/>
      <c r="G81" s="217"/>
      <c r="H81" s="217"/>
      <c r="I81" s="217"/>
      <c r="J81" s="217"/>
      <c r="K81" s="217"/>
    </row>
    <row r="82" spans="3:12" ht="15" customHeight="1" x14ac:dyDescent="0.25">
      <c r="E82" s="18"/>
      <c r="F82" s="18"/>
      <c r="G82" s="18"/>
      <c r="H82" s="18"/>
      <c r="I82" s="18"/>
      <c r="J82" s="18"/>
      <c r="K82" s="18"/>
    </row>
    <row r="83" spans="3:12" ht="15" customHeight="1" x14ac:dyDescent="0.25">
      <c r="C83" s="13" t="s">
        <v>10</v>
      </c>
      <c r="E83" s="18"/>
      <c r="F83" s="18"/>
      <c r="G83" s="18"/>
      <c r="H83" s="18"/>
      <c r="I83" s="18"/>
      <c r="J83" s="18"/>
      <c r="K83" s="18"/>
    </row>
    <row r="84" spans="3:12" ht="15" customHeight="1" x14ac:dyDescent="0.25">
      <c r="C84" s="17" t="s">
        <v>209</v>
      </c>
      <c r="D84" s="10">
        <v>225516257</v>
      </c>
      <c r="E84" s="10">
        <v>325910581</v>
      </c>
      <c r="F84" s="10">
        <v>241136369</v>
      </c>
      <c r="G84" s="19">
        <f>G209</f>
        <v>258090876.09466594</v>
      </c>
      <c r="H84" s="19">
        <f t="shared" ref="H84:K84" si="56">H209</f>
        <v>275817465.15819144</v>
      </c>
      <c r="I84" s="19">
        <f t="shared" si="56"/>
        <v>294375381.50370592</v>
      </c>
      <c r="J84" s="19">
        <f t="shared" si="56"/>
        <v>311803341.14079386</v>
      </c>
      <c r="K84" s="19">
        <f t="shared" si="56"/>
        <v>329879744.7693575</v>
      </c>
    </row>
    <row r="85" spans="3:12" ht="15" customHeight="1" x14ac:dyDescent="0.25">
      <c r="C85" s="17" t="s">
        <v>269</v>
      </c>
      <c r="D85" s="10">
        <v>4190742160</v>
      </c>
      <c r="E85" s="10">
        <v>6949328786</v>
      </c>
      <c r="F85" s="10">
        <v>6613356814</v>
      </c>
      <c r="G85" s="19">
        <f>F85</f>
        <v>6613356814</v>
      </c>
      <c r="H85" s="19">
        <f t="shared" ref="H85:K85" si="57">G85</f>
        <v>6613356814</v>
      </c>
      <c r="I85" s="19">
        <f t="shared" si="57"/>
        <v>6613356814</v>
      </c>
      <c r="J85" s="19">
        <f t="shared" si="57"/>
        <v>6613356814</v>
      </c>
      <c r="K85" s="19">
        <f t="shared" si="57"/>
        <v>6613356814</v>
      </c>
    </row>
    <row r="86" spans="3:12" ht="15" customHeight="1" x14ac:dyDescent="0.25">
      <c r="C86" s="17" t="s">
        <v>270</v>
      </c>
      <c r="D86" s="10">
        <v>114568544</v>
      </c>
      <c r="E86" s="10">
        <v>159721246</v>
      </c>
      <c r="F86" s="10">
        <v>182414674</v>
      </c>
      <c r="G86" s="19">
        <f>G283*G284</f>
        <v>216070119.10216209</v>
      </c>
      <c r="H86" s="19">
        <f t="shared" ref="H86:K86" si="58">H283*H284</f>
        <v>252037138.53854138</v>
      </c>
      <c r="I86" s="19">
        <f t="shared" si="58"/>
        <v>290424138.65857679</v>
      </c>
      <c r="J86" s="19">
        <f t="shared" si="58"/>
        <v>331083771.37874156</v>
      </c>
      <c r="K86" s="19">
        <f t="shared" si="58"/>
        <v>374100594.78759438</v>
      </c>
    </row>
    <row r="87" spans="3:12" ht="15" customHeight="1" x14ac:dyDescent="0.25">
      <c r="C87" s="17" t="s">
        <v>271</v>
      </c>
      <c r="D87" s="10">
        <v>240204176</v>
      </c>
      <c r="E87" s="10">
        <v>348674461</v>
      </c>
      <c r="F87" s="10">
        <v>120075884</v>
      </c>
      <c r="G87" s="19">
        <f t="shared" ref="G87" si="59">F87</f>
        <v>120075884</v>
      </c>
      <c r="H87" s="19">
        <f t="shared" ref="H87" si="60">G87</f>
        <v>120075884</v>
      </c>
      <c r="I87" s="19">
        <f t="shared" ref="I87" si="61">H87</f>
        <v>120075884</v>
      </c>
      <c r="J87" s="19">
        <f t="shared" ref="J87" si="62">I87</f>
        <v>120075884</v>
      </c>
      <c r="K87" s="19">
        <f t="shared" ref="K87" si="63">J87</f>
        <v>120075884</v>
      </c>
    </row>
    <row r="88" spans="3:12" ht="15" customHeight="1" x14ac:dyDescent="0.25">
      <c r="C88" s="17" t="s">
        <v>272</v>
      </c>
      <c r="D88" s="10">
        <v>2161616663</v>
      </c>
      <c r="E88" s="10">
        <v>3430377678</v>
      </c>
      <c r="F88" s="10">
        <v>2792638925</v>
      </c>
      <c r="G88" s="19">
        <f>G210</f>
        <v>3528639973.9956722</v>
      </c>
      <c r="H88" s="19">
        <f t="shared" ref="H88:K88" si="64">H210</f>
        <v>3770999377.4687634</v>
      </c>
      <c r="I88" s="19">
        <f t="shared" si="64"/>
        <v>4024724756.8457193</v>
      </c>
      <c r="J88" s="19">
        <f t="shared" si="64"/>
        <v>4263001273.904985</v>
      </c>
      <c r="K88" s="19">
        <f t="shared" si="64"/>
        <v>4510143371.2739525</v>
      </c>
    </row>
    <row r="89" spans="3:12" ht="15" customHeight="1" x14ac:dyDescent="0.25">
      <c r="C89" s="17" t="s">
        <v>273</v>
      </c>
      <c r="D89" s="10">
        <v>56816046</v>
      </c>
      <c r="E89" s="10">
        <v>170680629</v>
      </c>
      <c r="F89" s="10">
        <v>171431033</v>
      </c>
      <c r="G89" s="19">
        <f>F89</f>
        <v>171431033</v>
      </c>
      <c r="H89" s="19">
        <f t="shared" ref="H89:K89" si="65">G89</f>
        <v>171431033</v>
      </c>
      <c r="I89" s="19">
        <f t="shared" si="65"/>
        <v>171431033</v>
      </c>
      <c r="J89" s="19">
        <f t="shared" si="65"/>
        <v>171431033</v>
      </c>
      <c r="K89" s="19">
        <f t="shared" si="65"/>
        <v>171431033</v>
      </c>
    </row>
    <row r="90" spans="3:12" ht="15" customHeight="1" x14ac:dyDescent="0.25">
      <c r="C90" s="17" t="s">
        <v>274</v>
      </c>
      <c r="D90" s="10">
        <v>974651595</v>
      </c>
      <c r="E90" s="10">
        <v>1573371698</v>
      </c>
      <c r="F90" s="10">
        <v>1336918898</v>
      </c>
      <c r="G90" s="19">
        <f>G211</f>
        <v>1430918824.4114904</v>
      </c>
      <c r="H90" s="19">
        <f t="shared" ref="H90:K90" si="66">H211</f>
        <v>1529199361.7455637</v>
      </c>
      <c r="I90" s="19">
        <f t="shared" si="66"/>
        <v>1632088980.4816797</v>
      </c>
      <c r="J90" s="19">
        <f t="shared" si="66"/>
        <v>1728713843.3716242</v>
      </c>
      <c r="K90" s="19">
        <f t="shared" si="66"/>
        <v>1828933838.0539799</v>
      </c>
    </row>
    <row r="91" spans="3:12" ht="15" customHeight="1" x14ac:dyDescent="0.25">
      <c r="C91" s="17" t="s">
        <v>275</v>
      </c>
      <c r="D91" s="10">
        <v>178656287</v>
      </c>
      <c r="E91" s="10">
        <v>310878862</v>
      </c>
      <c r="F91" s="10">
        <v>235085306</v>
      </c>
      <c r="G91" s="19">
        <f>G212</f>
        <v>251614357.61074531</v>
      </c>
      <c r="H91" s="19">
        <f t="shared" ref="H91:K91" si="67">H212</f>
        <v>268896116.60718745</v>
      </c>
      <c r="I91" s="19">
        <f t="shared" si="67"/>
        <v>286988341.603773</v>
      </c>
      <c r="J91" s="19">
        <f t="shared" si="67"/>
        <v>303978964.96445096</v>
      </c>
      <c r="K91" s="19">
        <f t="shared" si="67"/>
        <v>321601760.29815859</v>
      </c>
    </row>
    <row r="92" spans="3:12" ht="15" customHeight="1" x14ac:dyDescent="0.25">
      <c r="C92" s="11" t="s">
        <v>11</v>
      </c>
      <c r="D92" s="12">
        <f>SUM(D84:D91)</f>
        <v>8142771728</v>
      </c>
      <c r="E92" s="12">
        <f t="shared" ref="E92:G92" si="68">SUM(E84:E91)</f>
        <v>13268943941</v>
      </c>
      <c r="F92" s="12">
        <f t="shared" si="68"/>
        <v>11693057903</v>
      </c>
      <c r="G92" s="12">
        <f t="shared" si="68"/>
        <v>12590197882.214737</v>
      </c>
      <c r="H92" s="12">
        <f t="shared" ref="H92:K92" si="69">SUM(H84:H91)</f>
        <v>13001813190.518248</v>
      </c>
      <c r="I92" s="12">
        <f t="shared" si="69"/>
        <v>13433465330.093456</v>
      </c>
      <c r="J92" s="12">
        <f t="shared" si="69"/>
        <v>13843444925.760595</v>
      </c>
      <c r="K92" s="12">
        <f t="shared" si="69"/>
        <v>14269523040.183044</v>
      </c>
      <c r="L92" s="18"/>
    </row>
    <row r="93" spans="3:12" ht="15" customHeight="1" x14ac:dyDescent="0.25">
      <c r="D93" s="267"/>
      <c r="E93" s="267"/>
      <c r="F93" s="267"/>
      <c r="G93" s="268"/>
      <c r="H93" s="268"/>
      <c r="I93" s="268"/>
      <c r="J93" s="268"/>
      <c r="K93" s="268"/>
    </row>
    <row r="94" spans="3:12" ht="15" customHeight="1" x14ac:dyDescent="0.25">
      <c r="C94" s="13" t="s">
        <v>12</v>
      </c>
      <c r="E94" s="18"/>
      <c r="F94" s="18"/>
      <c r="G94" s="18"/>
      <c r="H94" s="18"/>
      <c r="I94" s="18"/>
      <c r="J94" s="18"/>
      <c r="K94" s="18"/>
    </row>
    <row r="95" spans="3:12" ht="15" customHeight="1" x14ac:dyDescent="0.25">
      <c r="C95" s="17" t="s">
        <v>276</v>
      </c>
      <c r="D95" s="10">
        <v>246047654</v>
      </c>
      <c r="E95" s="10">
        <v>129447949</v>
      </c>
      <c r="F95" s="10">
        <v>109644343</v>
      </c>
      <c r="G95" s="19">
        <f>F95</f>
        <v>109644343</v>
      </c>
      <c r="H95" s="19">
        <f t="shared" ref="H95:K95" si="70">G95</f>
        <v>109644343</v>
      </c>
      <c r="I95" s="19">
        <f t="shared" si="70"/>
        <v>109644343</v>
      </c>
      <c r="J95" s="19">
        <f t="shared" si="70"/>
        <v>109644343</v>
      </c>
      <c r="K95" s="19">
        <f t="shared" si="70"/>
        <v>109644343</v>
      </c>
    </row>
    <row r="96" spans="3:12" ht="15" customHeight="1" x14ac:dyDescent="0.25">
      <c r="C96" s="17" t="s">
        <v>277</v>
      </c>
      <c r="D96" s="10">
        <v>398927103</v>
      </c>
      <c r="E96" s="10">
        <v>464844105</v>
      </c>
      <c r="F96" s="10">
        <v>443662340</v>
      </c>
      <c r="G96" s="19">
        <f>G283*(1-G284)</f>
        <v>525517890.32577455</v>
      </c>
      <c r="H96" s="19">
        <f t="shared" ref="H96:K96" si="71">H283*(1-H284)</f>
        <v>612995567.73000312</v>
      </c>
      <c r="I96" s="19">
        <f t="shared" si="71"/>
        <v>706359034.19561851</v>
      </c>
      <c r="J96" s="19">
        <f t="shared" si="71"/>
        <v>805249915.06942856</v>
      </c>
      <c r="K96" s="19">
        <f t="shared" si="71"/>
        <v>909873869.46104944</v>
      </c>
    </row>
    <row r="97" spans="3:11" ht="15" customHeight="1" x14ac:dyDescent="0.25">
      <c r="C97" s="17" t="s">
        <v>210</v>
      </c>
      <c r="D97" s="10">
        <v>149355442</v>
      </c>
      <c r="E97" s="10">
        <v>0</v>
      </c>
      <c r="F97" s="10">
        <v>0</v>
      </c>
      <c r="G97" s="19">
        <f>F97</f>
        <v>0</v>
      </c>
      <c r="H97" s="19">
        <f t="shared" ref="H97:K97" si="72">G97</f>
        <v>0</v>
      </c>
      <c r="I97" s="19">
        <f t="shared" si="72"/>
        <v>0</v>
      </c>
      <c r="J97" s="19">
        <f t="shared" si="72"/>
        <v>0</v>
      </c>
      <c r="K97" s="19">
        <f t="shared" si="72"/>
        <v>0</v>
      </c>
    </row>
    <row r="98" spans="3:11" ht="15" customHeight="1" x14ac:dyDescent="0.25">
      <c r="C98" s="11" t="s">
        <v>13</v>
      </c>
      <c r="D98" s="12">
        <f>SUM(D95:D97)</f>
        <v>794330199</v>
      </c>
      <c r="E98" s="12">
        <f t="shared" ref="E98:G98" si="73">SUM(E95:E97)</f>
        <v>594292054</v>
      </c>
      <c r="F98" s="12">
        <f t="shared" si="73"/>
        <v>553306683</v>
      </c>
      <c r="G98" s="12">
        <f t="shared" si="73"/>
        <v>635162233.32577455</v>
      </c>
      <c r="H98" s="12">
        <f t="shared" ref="H98:K98" si="74">SUM(H95:H97)</f>
        <v>722639910.73000312</v>
      </c>
      <c r="I98" s="12">
        <f t="shared" si="74"/>
        <v>816003377.19561851</v>
      </c>
      <c r="J98" s="12">
        <f t="shared" si="74"/>
        <v>914894258.06942856</v>
      </c>
      <c r="K98" s="12">
        <f t="shared" si="74"/>
        <v>1019518212.4610494</v>
      </c>
    </row>
    <row r="99" spans="3:11" ht="15" customHeight="1" x14ac:dyDescent="0.25">
      <c r="D99" s="1"/>
      <c r="E99" s="1"/>
      <c r="F99" s="1"/>
      <c r="G99" s="212"/>
      <c r="H99" s="212"/>
      <c r="I99" s="212"/>
      <c r="J99" s="212"/>
      <c r="K99" s="212"/>
    </row>
    <row r="100" spans="3:11" ht="15" customHeight="1" x14ac:dyDescent="0.25">
      <c r="C100" s="13" t="s">
        <v>14</v>
      </c>
      <c r="D100" s="25">
        <f>D92+D98</f>
        <v>8937101927</v>
      </c>
      <c r="E100" s="25">
        <f t="shared" ref="E100:G100" si="75">E92+E98</f>
        <v>13863235995</v>
      </c>
      <c r="F100" s="25">
        <f t="shared" si="75"/>
        <v>12246364586</v>
      </c>
      <c r="G100" s="25">
        <f t="shared" si="75"/>
        <v>13225360115.540512</v>
      </c>
      <c r="H100" s="25">
        <f t="shared" ref="H100:K100" si="76">H92+H98</f>
        <v>13724453101.248251</v>
      </c>
      <c r="I100" s="25">
        <f t="shared" si="76"/>
        <v>14249468707.289074</v>
      </c>
      <c r="J100" s="25">
        <f t="shared" si="76"/>
        <v>14758339183.830025</v>
      </c>
      <c r="K100" s="25">
        <f t="shared" si="76"/>
        <v>15289041252.644094</v>
      </c>
    </row>
    <row r="101" spans="3:11" ht="15" customHeight="1" x14ac:dyDescent="0.25">
      <c r="E101" s="18"/>
      <c r="F101" s="18"/>
      <c r="G101" s="18"/>
      <c r="H101" s="18"/>
      <c r="I101" s="18"/>
      <c r="J101" s="18"/>
      <c r="K101" s="18"/>
    </row>
    <row r="102" spans="3:11" ht="15" customHeight="1" x14ac:dyDescent="0.25">
      <c r="C102" s="13" t="s">
        <v>15</v>
      </c>
      <c r="E102" s="18"/>
      <c r="F102" s="18"/>
      <c r="G102" s="18"/>
      <c r="H102" s="18"/>
      <c r="I102" s="18"/>
      <c r="J102" s="18"/>
      <c r="K102" s="18"/>
    </row>
    <row r="103" spans="3:11" ht="15" customHeight="1" x14ac:dyDescent="0.25">
      <c r="C103" s="17" t="s">
        <v>278</v>
      </c>
      <c r="D103" s="10">
        <v>665107268</v>
      </c>
      <c r="E103" s="10">
        <v>665107268</v>
      </c>
      <c r="F103" s="10">
        <v>665107268</v>
      </c>
      <c r="G103" s="19">
        <f>F103</f>
        <v>665107268</v>
      </c>
      <c r="H103" s="19">
        <f t="shared" ref="H103:K103" si="77">G103</f>
        <v>665107268</v>
      </c>
      <c r="I103" s="19">
        <f t="shared" si="77"/>
        <v>665107268</v>
      </c>
      <c r="J103" s="19">
        <f t="shared" si="77"/>
        <v>665107268</v>
      </c>
      <c r="K103" s="19">
        <f t="shared" si="77"/>
        <v>665107268</v>
      </c>
    </row>
    <row r="104" spans="3:11" ht="15" customHeight="1" x14ac:dyDescent="0.25">
      <c r="C104" s="17" t="s">
        <v>279</v>
      </c>
      <c r="D104" s="10">
        <v>1794626861</v>
      </c>
      <c r="E104" s="10">
        <v>1522976435</v>
      </c>
      <c r="F104" s="10">
        <v>1534111447</v>
      </c>
      <c r="G104" s="19">
        <f>F104</f>
        <v>1534111447</v>
      </c>
      <c r="H104" s="19">
        <f t="shared" ref="H104:K104" si="78">G104</f>
        <v>1534111447</v>
      </c>
      <c r="I104" s="19">
        <f t="shared" si="78"/>
        <v>1534111447</v>
      </c>
      <c r="J104" s="19">
        <f t="shared" si="78"/>
        <v>1534111447</v>
      </c>
      <c r="K104" s="19">
        <f t="shared" si="78"/>
        <v>1534111447</v>
      </c>
    </row>
    <row r="105" spans="3:11" ht="15" customHeight="1" x14ac:dyDescent="0.25">
      <c r="C105" s="17" t="s">
        <v>194</v>
      </c>
      <c r="D105" s="10">
        <v>704841104</v>
      </c>
      <c r="E105" s="10">
        <v>1716117620</v>
      </c>
      <c r="F105" s="10">
        <v>2482016283</v>
      </c>
      <c r="G105" s="19">
        <f ca="1">G251</f>
        <v>5398247563.896143</v>
      </c>
      <c r="H105" s="19">
        <f t="shared" ref="H105:K105" ca="1" si="79">H251</f>
        <v>6176564427.1307945</v>
      </c>
      <c r="I105" s="19">
        <f t="shared" ca="1" si="79"/>
        <v>7014591400.9132538</v>
      </c>
      <c r="J105" s="19">
        <f t="shared" ca="1" si="79"/>
        <v>7909653988.3209648</v>
      </c>
      <c r="K105" s="19">
        <f t="shared" ca="1" si="79"/>
        <v>8864802852.9224529</v>
      </c>
    </row>
    <row r="106" spans="3:11" ht="15" customHeight="1" x14ac:dyDescent="0.25">
      <c r="C106" s="17" t="s">
        <v>280</v>
      </c>
      <c r="D106" s="10">
        <v>1740203598</v>
      </c>
      <c r="E106" s="10">
        <v>2192283305</v>
      </c>
      <c r="F106" s="10">
        <v>2189343558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</row>
    <row r="107" spans="3:11" ht="15" customHeight="1" x14ac:dyDescent="0.25">
      <c r="C107" s="17" t="s">
        <v>281</v>
      </c>
      <c r="D107" s="10">
        <v>7904577917</v>
      </c>
      <c r="E107" s="10">
        <v>12810841902</v>
      </c>
      <c r="F107" s="10">
        <v>11995255064</v>
      </c>
      <c r="G107" s="19">
        <f>F107</f>
        <v>11995255064</v>
      </c>
      <c r="H107" s="19">
        <f t="shared" ref="H107:K107" si="80">G107</f>
        <v>11995255064</v>
      </c>
      <c r="I107" s="19">
        <f t="shared" si="80"/>
        <v>11995255064</v>
      </c>
      <c r="J107" s="19">
        <f t="shared" si="80"/>
        <v>11995255064</v>
      </c>
      <c r="K107" s="19">
        <f t="shared" si="80"/>
        <v>11995255064</v>
      </c>
    </row>
    <row r="108" spans="3:11" ht="15" customHeight="1" x14ac:dyDescent="0.25">
      <c r="C108" s="264" t="s">
        <v>282</v>
      </c>
      <c r="D108" s="158">
        <f>SUM(D103:D107)</f>
        <v>12809356748</v>
      </c>
      <c r="E108" s="158">
        <f t="shared" ref="E108:G108" si="81">SUM(E103:E107)</f>
        <v>18907326530</v>
      </c>
      <c r="F108" s="158">
        <f t="shared" si="81"/>
        <v>18865833620</v>
      </c>
      <c r="G108" s="158">
        <f t="shared" ca="1" si="81"/>
        <v>19592721342.896141</v>
      </c>
      <c r="H108" s="158">
        <f t="shared" ref="H108:K108" ca="1" si="82">SUM(H103:H107)</f>
        <v>20371038206.130795</v>
      </c>
      <c r="I108" s="158">
        <f t="shared" ca="1" si="82"/>
        <v>21209065179.913254</v>
      </c>
      <c r="J108" s="158">
        <f t="shared" ca="1" si="82"/>
        <v>22104127767.320965</v>
      </c>
      <c r="K108" s="158">
        <f t="shared" ca="1" si="82"/>
        <v>23059276631.922455</v>
      </c>
    </row>
    <row r="109" spans="3:11" ht="15" customHeight="1" x14ac:dyDescent="0.25">
      <c r="C109" s="17" t="s">
        <v>211</v>
      </c>
      <c r="D109" s="10">
        <v>1361533283</v>
      </c>
      <c r="E109" s="10">
        <v>2134004061</v>
      </c>
      <c r="F109" s="10">
        <v>1966368620</v>
      </c>
      <c r="G109" s="19">
        <f ca="1">G257</f>
        <v>1904854795.334821</v>
      </c>
      <c r="H109" s="19">
        <f t="shared" ref="H109:K109" ca="1" si="83">H257</f>
        <v>1838988712.3747032</v>
      </c>
      <c r="I109" s="19">
        <f t="shared" ca="1" si="83"/>
        <v>1768069583.1802344</v>
      </c>
      <c r="J109" s="19">
        <f t="shared" ca="1" si="83"/>
        <v>1692323740.5530007</v>
      </c>
      <c r="K109" s="19">
        <f t="shared" ca="1" si="83"/>
        <v>1611493018.096796</v>
      </c>
    </row>
    <row r="110" spans="3:11" ht="15" customHeight="1" x14ac:dyDescent="0.25">
      <c r="C110" s="26" t="s">
        <v>16</v>
      </c>
      <c r="D110" s="12">
        <f>SUM(D108:D109)</f>
        <v>14170890031</v>
      </c>
      <c r="E110" s="12">
        <f t="shared" ref="E110:G110" si="84">SUM(E108:E109)</f>
        <v>21041330591</v>
      </c>
      <c r="F110" s="12">
        <f t="shared" si="84"/>
        <v>20832202240</v>
      </c>
      <c r="G110" s="12">
        <f t="shared" ca="1" si="84"/>
        <v>21497576138.230961</v>
      </c>
      <c r="H110" s="12">
        <f t="shared" ref="H110:K110" ca="1" si="85">SUM(H108:H109)</f>
        <v>22210026918.505497</v>
      </c>
      <c r="I110" s="12">
        <f t="shared" ca="1" si="85"/>
        <v>22977134763.093487</v>
      </c>
      <c r="J110" s="12">
        <f t="shared" ca="1" si="85"/>
        <v>23796451507.873966</v>
      </c>
      <c r="K110" s="12">
        <f t="shared" ca="1" si="85"/>
        <v>24670769650.019249</v>
      </c>
    </row>
    <row r="111" spans="3:11" ht="15" customHeight="1" x14ac:dyDescent="0.25">
      <c r="E111" s="19"/>
      <c r="F111" s="19"/>
      <c r="G111" s="19"/>
      <c r="H111" s="19"/>
      <c r="I111" s="19"/>
      <c r="J111" s="19"/>
      <c r="K111" s="19"/>
    </row>
    <row r="112" spans="3:11" ht="15" customHeight="1" x14ac:dyDescent="0.25">
      <c r="C112" s="13" t="s">
        <v>17</v>
      </c>
      <c r="D112" s="14">
        <f>D100+D110</f>
        <v>23107991958</v>
      </c>
      <c r="E112" s="14">
        <f t="shared" ref="E112:G112" si="86">E100+E110</f>
        <v>34904566586</v>
      </c>
      <c r="F112" s="14">
        <f t="shared" si="86"/>
        <v>33078566826</v>
      </c>
      <c r="G112" s="14">
        <f t="shared" ca="1" si="86"/>
        <v>34722936253.771469</v>
      </c>
      <c r="H112" s="14">
        <f t="shared" ref="H112:K112" ca="1" si="87">H100+H110</f>
        <v>35934480019.753746</v>
      </c>
      <c r="I112" s="14">
        <f t="shared" ca="1" si="87"/>
        <v>37226603470.382561</v>
      </c>
      <c r="J112" s="14">
        <f t="shared" ca="1" si="87"/>
        <v>38554790691.703995</v>
      </c>
      <c r="K112" s="14">
        <f t="shared" ca="1" si="87"/>
        <v>39959810902.663345</v>
      </c>
    </row>
    <row r="113" spans="3:11" ht="15" customHeight="1" x14ac:dyDescent="0.25">
      <c r="E113" s="18"/>
      <c r="F113" s="18"/>
      <c r="G113" s="18"/>
      <c r="H113" s="18"/>
      <c r="I113" s="18"/>
      <c r="J113" s="18"/>
      <c r="K113" s="18"/>
    </row>
    <row r="114" spans="3:11" ht="15" customHeight="1" x14ac:dyDescent="0.25">
      <c r="C114" s="6" t="s">
        <v>18</v>
      </c>
      <c r="D114" s="271">
        <f>D79-D112</f>
        <v>0</v>
      </c>
      <c r="E114" s="271">
        <f t="shared" ref="E114:K114" si="88">E79-E112</f>
        <v>0</v>
      </c>
      <c r="F114" s="271">
        <f t="shared" si="88"/>
        <v>0</v>
      </c>
      <c r="G114" s="271">
        <f t="shared" ca="1" si="88"/>
        <v>0</v>
      </c>
      <c r="H114" s="271">
        <f t="shared" ca="1" si="88"/>
        <v>0</v>
      </c>
      <c r="I114" s="271">
        <f t="shared" ca="1" si="88"/>
        <v>0</v>
      </c>
      <c r="J114" s="271">
        <f t="shared" ca="1" si="88"/>
        <v>0</v>
      </c>
      <c r="K114" s="271">
        <f t="shared" ca="1" si="88"/>
        <v>0</v>
      </c>
    </row>
    <row r="115" spans="3:11" ht="15" customHeight="1" x14ac:dyDescent="0.25"/>
    <row r="116" spans="3:11" customFormat="1" x14ac:dyDescent="0.25">
      <c r="C116" s="39" t="s">
        <v>45</v>
      </c>
      <c r="D116" s="251"/>
      <c r="E116" s="46"/>
      <c r="F116" s="46"/>
      <c r="G116" s="46"/>
      <c r="H116" s="46"/>
      <c r="I116" s="46"/>
      <c r="J116" s="46"/>
      <c r="K116" s="46"/>
    </row>
    <row r="117" spans="3:11" customFormat="1" x14ac:dyDescent="0.25">
      <c r="C117" t="s">
        <v>42</v>
      </c>
      <c r="D117" s="41"/>
      <c r="E117" s="41"/>
      <c r="F117" s="42"/>
      <c r="G117" s="42">
        <f t="shared" ref="G117:K117" si="89">G$13</f>
        <v>2026</v>
      </c>
      <c r="H117" s="42">
        <f t="shared" si="89"/>
        <v>2027</v>
      </c>
      <c r="I117" s="42">
        <f t="shared" si="89"/>
        <v>2028</v>
      </c>
      <c r="J117" s="42">
        <f t="shared" si="89"/>
        <v>2029</v>
      </c>
      <c r="K117" s="42">
        <f t="shared" si="89"/>
        <v>2030</v>
      </c>
    </row>
    <row r="118" spans="3:11" customFormat="1" x14ac:dyDescent="0.25">
      <c r="C118" s="43" t="s">
        <v>43</v>
      </c>
      <c r="D118" s="253"/>
      <c r="E118" s="44"/>
      <c r="F118" s="232"/>
      <c r="G118" s="232">
        <f t="shared" ref="G118:K118" si="90">G$14</f>
        <v>46387</v>
      </c>
      <c r="H118" s="232">
        <f t="shared" si="90"/>
        <v>46752</v>
      </c>
      <c r="I118" s="232">
        <f t="shared" si="90"/>
        <v>47118</v>
      </c>
      <c r="J118" s="232">
        <f t="shared" si="90"/>
        <v>47483</v>
      </c>
      <c r="K118" s="232">
        <f t="shared" si="90"/>
        <v>47848</v>
      </c>
    </row>
    <row r="119" spans="3:11" ht="15" customHeight="1" x14ac:dyDescent="0.25"/>
    <row r="120" spans="3:11" s="13" customFormat="1" ht="15" customHeight="1" x14ac:dyDescent="0.25">
      <c r="C120" s="17" t="s">
        <v>202</v>
      </c>
      <c r="D120" s="200"/>
      <c r="E120" s="200"/>
      <c r="F120" s="202"/>
      <c r="G120" s="200">
        <f ca="1">G38</f>
        <v>2116659705.4336298</v>
      </c>
      <c r="H120" s="200">
        <f ca="1">H38</f>
        <v>2266418719.9426293</v>
      </c>
      <c r="I120" s="200">
        <f ca="1">I38</f>
        <v>2440291494.2687216</v>
      </c>
      <c r="J120" s="200">
        <f ca="1">J38</f>
        <v>2606376270.9578261</v>
      </c>
      <c r="K120" s="200">
        <f ca="1">K38</f>
        <v>2781344423.2315269</v>
      </c>
    </row>
    <row r="121" spans="3:11" ht="15" customHeight="1" x14ac:dyDescent="0.25">
      <c r="C121" s="17" t="s">
        <v>195</v>
      </c>
      <c r="D121" s="202"/>
      <c r="E121" s="201"/>
      <c r="F121" s="201"/>
      <c r="G121" s="201">
        <f>G154</f>
        <v>1196317228.206197</v>
      </c>
      <c r="H121" s="201">
        <f t="shared" ref="H121:K121" si="91">H154</f>
        <v>1278484502.8302279</v>
      </c>
      <c r="I121" s="201">
        <f t="shared" si="91"/>
        <v>1364505192.0529072</v>
      </c>
      <c r="J121" s="201">
        <f t="shared" si="91"/>
        <v>1445288242.8984671</v>
      </c>
      <c r="K121" s="201">
        <f t="shared" si="91"/>
        <v>1529076997.5111167</v>
      </c>
    </row>
    <row r="122" spans="3:11" ht="15" customHeight="1" x14ac:dyDescent="0.25">
      <c r="C122" s="17" t="s">
        <v>196</v>
      </c>
      <c r="D122" s="202"/>
      <c r="E122" s="201"/>
      <c r="F122" s="201"/>
      <c r="G122" s="201">
        <f>G162</f>
        <v>171702843.25654814</v>
      </c>
      <c r="H122" s="201">
        <f t="shared" ref="H122:K122" si="92">H162</f>
        <v>183495998.40214637</v>
      </c>
      <c r="I122" s="201">
        <f t="shared" si="92"/>
        <v>195842219.42963141</v>
      </c>
      <c r="J122" s="201">
        <f t="shared" si="92"/>
        <v>207436702.22239295</v>
      </c>
      <c r="K122" s="201">
        <f t="shared" si="92"/>
        <v>219462582.19863403</v>
      </c>
    </row>
    <row r="123" spans="3:11" ht="15" customHeight="1" x14ac:dyDescent="0.25">
      <c r="C123" s="17" t="s">
        <v>297</v>
      </c>
      <c r="D123" s="202"/>
      <c r="E123" s="201"/>
      <c r="F123" s="201"/>
      <c r="G123" s="201">
        <f>G281</f>
        <v>57851299.011932939</v>
      </c>
      <c r="H123" s="201">
        <f t="shared" ref="H123:K123" si="93">H281</f>
        <v>61824729.688341372</v>
      </c>
      <c r="I123" s="201">
        <f t="shared" si="93"/>
        <v>65984503.113067195</v>
      </c>
      <c r="J123" s="201">
        <f t="shared" si="93"/>
        <v>69890995.738413855</v>
      </c>
      <c r="K123" s="201">
        <f t="shared" si="93"/>
        <v>73942837.660143986</v>
      </c>
    </row>
    <row r="124" spans="3:11" s="13" customFormat="1" ht="15" customHeight="1" x14ac:dyDescent="0.25">
      <c r="C124" s="13" t="s">
        <v>173</v>
      </c>
      <c r="D124" s="200"/>
      <c r="E124" s="200"/>
      <c r="F124" s="200"/>
      <c r="G124" s="200">
        <f ca="1">SUM(G120:G123)</f>
        <v>3542531075.9083076</v>
      </c>
      <c r="H124" s="200">
        <f t="shared" ref="H124:K124" ca="1" si="94">SUM(H120:H123)</f>
        <v>3790223950.8633447</v>
      </c>
      <c r="I124" s="200">
        <f t="shared" ca="1" si="94"/>
        <v>4066623408.864327</v>
      </c>
      <c r="J124" s="200">
        <f t="shared" ca="1" si="94"/>
        <v>4328992211.8171005</v>
      </c>
      <c r="K124" s="200">
        <f t="shared" ca="1" si="94"/>
        <v>4603826840.6014214</v>
      </c>
    </row>
    <row r="125" spans="3:11" s="13" customFormat="1" ht="15" customHeight="1" x14ac:dyDescent="0.25">
      <c r="D125" s="200"/>
      <c r="E125" s="204"/>
      <c r="F125" s="204"/>
      <c r="G125" s="205"/>
      <c r="H125" s="205"/>
      <c r="I125" s="205"/>
      <c r="J125" s="205"/>
      <c r="K125" s="205"/>
    </row>
    <row r="126" spans="3:11" ht="15" customHeight="1" x14ac:dyDescent="0.25">
      <c r="C126" s="198" t="s">
        <v>153</v>
      </c>
      <c r="D126" s="201"/>
      <c r="E126" s="201"/>
      <c r="F126" s="201"/>
      <c r="G126" s="201"/>
      <c r="H126" s="201"/>
      <c r="I126" s="201"/>
      <c r="J126" s="201"/>
      <c r="K126" s="201"/>
    </row>
    <row r="127" spans="3:11" ht="15" customHeight="1" x14ac:dyDescent="0.25">
      <c r="C127" s="17" t="s">
        <v>296</v>
      </c>
      <c r="D127" s="201"/>
      <c r="E127" s="201"/>
      <c r="F127" s="201"/>
      <c r="G127" s="201">
        <f>G217</f>
        <v>-1737845951.8668594</v>
      </c>
      <c r="H127" s="201">
        <f t="shared" ref="H127:K127" si="95">H217</f>
        <v>-906010995.05956268</v>
      </c>
      <c r="I127" s="201">
        <f t="shared" si="95"/>
        <v>-948500368.24217224</v>
      </c>
      <c r="J127" s="201">
        <f t="shared" si="95"/>
        <v>-890747960.37018967</v>
      </c>
      <c r="K127" s="201">
        <f t="shared" si="95"/>
        <v>-923890116.70111656</v>
      </c>
    </row>
    <row r="128" spans="3:11" s="13" customFormat="1" ht="15" customHeight="1" x14ac:dyDescent="0.25">
      <c r="C128" s="13" t="s">
        <v>19</v>
      </c>
      <c r="D128" s="204"/>
      <c r="E128" s="204"/>
      <c r="F128" s="204"/>
      <c r="G128" s="204">
        <f ca="1">G124+G127</f>
        <v>1804685124.0414481</v>
      </c>
      <c r="H128" s="204">
        <f t="shared" ref="H128:K128" ca="1" si="96">H124+H127</f>
        <v>2884212955.803782</v>
      </c>
      <c r="I128" s="204">
        <f t="shared" ca="1" si="96"/>
        <v>3118123040.6221547</v>
      </c>
      <c r="J128" s="204">
        <f t="shared" ca="1" si="96"/>
        <v>3438244251.4469109</v>
      </c>
      <c r="K128" s="204">
        <f t="shared" ca="1" si="96"/>
        <v>3679936723.9003048</v>
      </c>
    </row>
    <row r="129" spans="3:11" s="13" customFormat="1" ht="15" customHeight="1" x14ac:dyDescent="0.25">
      <c r="C129" s="13" t="s">
        <v>176</v>
      </c>
      <c r="D129" s="200"/>
      <c r="E129" s="200"/>
      <c r="F129" s="200"/>
      <c r="G129" s="200">
        <f ca="1">G128</f>
        <v>1804685124.0414481</v>
      </c>
      <c r="H129" s="200">
        <f t="shared" ref="H129:K129" ca="1" si="97">H128</f>
        <v>2884212955.803782</v>
      </c>
      <c r="I129" s="200">
        <f t="shared" ca="1" si="97"/>
        <v>3118123040.6221547</v>
      </c>
      <c r="J129" s="200">
        <f t="shared" ca="1" si="97"/>
        <v>3438244251.4469109</v>
      </c>
      <c r="K129" s="200">
        <f t="shared" ca="1" si="97"/>
        <v>3679936723.9003048</v>
      </c>
    </row>
    <row r="130" spans="3:11" ht="15" customHeight="1" x14ac:dyDescent="0.25">
      <c r="D130" s="202"/>
      <c r="E130" s="203"/>
      <c r="F130" s="203"/>
      <c r="G130" s="203"/>
      <c r="H130" s="203"/>
      <c r="I130" s="203"/>
      <c r="J130" s="203"/>
      <c r="K130" s="203"/>
    </row>
    <row r="131" spans="3:11" customFormat="1" x14ac:dyDescent="0.25">
      <c r="C131" s="223" t="s">
        <v>20</v>
      </c>
      <c r="D131" s="254"/>
      <c r="E131" s="224"/>
      <c r="F131" s="224"/>
      <c r="G131" s="224"/>
      <c r="H131" s="224"/>
      <c r="I131" s="224"/>
      <c r="J131" s="224"/>
      <c r="K131" s="224"/>
    </row>
    <row r="132" spans="3:11" ht="15" customHeight="1" x14ac:dyDescent="0.25">
      <c r="C132" s="17" t="s">
        <v>197</v>
      </c>
      <c r="D132" s="202"/>
      <c r="E132" s="201"/>
      <c r="F132" s="201"/>
      <c r="G132" s="201">
        <f>-G153</f>
        <v>-1042971738.5497104</v>
      </c>
      <c r="H132" s="201">
        <f t="shared" ref="H132:K132" si="98">-H153</f>
        <v>-1114606705.6353352</v>
      </c>
      <c r="I132" s="201">
        <f t="shared" si="98"/>
        <v>-1189601151.6522565</v>
      </c>
      <c r="J132" s="201">
        <f t="shared" si="98"/>
        <v>-1260029326.5537226</v>
      </c>
      <c r="K132" s="201">
        <f t="shared" si="98"/>
        <v>-1333077930.2257645</v>
      </c>
    </row>
    <row r="133" spans="3:11" ht="15" customHeight="1" x14ac:dyDescent="0.25">
      <c r="C133" s="13" t="s">
        <v>175</v>
      </c>
      <c r="D133" s="202"/>
      <c r="E133" s="204"/>
      <c r="F133" s="204"/>
      <c r="G133" s="204">
        <f>SUM(G132)</f>
        <v>-1042971738.5497104</v>
      </c>
      <c r="H133" s="204">
        <f t="shared" ref="H133:K133" si="99">SUM(H132)</f>
        <v>-1114606705.6353352</v>
      </c>
      <c r="I133" s="204">
        <f t="shared" si="99"/>
        <v>-1189601151.6522565</v>
      </c>
      <c r="J133" s="204">
        <f t="shared" si="99"/>
        <v>-1260029326.5537226</v>
      </c>
      <c r="K133" s="204">
        <f t="shared" si="99"/>
        <v>-1333077930.2257645</v>
      </c>
    </row>
    <row r="134" spans="3:11" ht="15" customHeight="1" x14ac:dyDescent="0.25">
      <c r="D134" s="202"/>
      <c r="E134" s="206"/>
      <c r="F134" s="206"/>
      <c r="G134" s="203"/>
      <c r="H134" s="203"/>
      <c r="I134" s="203"/>
      <c r="J134" s="203"/>
      <c r="K134" s="203"/>
    </row>
    <row r="135" spans="3:11" s="35" customFormat="1" ht="15" customHeight="1" x14ac:dyDescent="0.25">
      <c r="C135" s="45" t="s">
        <v>21</v>
      </c>
      <c r="D135" s="255"/>
      <c r="E135" s="207"/>
      <c r="F135" s="207"/>
      <c r="G135" s="207"/>
      <c r="H135" s="207"/>
      <c r="I135" s="207"/>
      <c r="J135" s="207"/>
      <c r="K135" s="207"/>
    </row>
    <row r="136" spans="3:11" ht="15" customHeight="1" x14ac:dyDescent="0.25">
      <c r="C136" s="17" t="s">
        <v>198</v>
      </c>
      <c r="D136" s="202"/>
      <c r="E136" s="201"/>
      <c r="F136" s="201"/>
      <c r="G136" s="201">
        <f>G230-F230</f>
        <v>0</v>
      </c>
      <c r="H136" s="201">
        <f t="shared" ref="H136:K136" si="100">H230-G230</f>
        <v>0</v>
      </c>
      <c r="I136" s="201">
        <f t="shared" si="100"/>
        <v>0</v>
      </c>
      <c r="J136" s="201">
        <f t="shared" si="100"/>
        <v>0</v>
      </c>
      <c r="K136" s="201">
        <f t="shared" si="100"/>
        <v>0</v>
      </c>
    </row>
    <row r="137" spans="3:11" ht="15" customHeight="1" x14ac:dyDescent="0.25">
      <c r="C137" s="17" t="s">
        <v>199</v>
      </c>
      <c r="D137" s="202"/>
      <c r="E137" s="201"/>
      <c r="F137" s="201"/>
      <c r="G137" s="201">
        <f>-G282</f>
        <v>-171702843.25654814</v>
      </c>
      <c r="H137" s="201">
        <f t="shared" ref="H137:K137" si="101">-H282</f>
        <v>-183495998.40214637</v>
      </c>
      <c r="I137" s="201">
        <f t="shared" si="101"/>
        <v>-195842219.42963141</v>
      </c>
      <c r="J137" s="201">
        <f t="shared" si="101"/>
        <v>-207436702.22239295</v>
      </c>
      <c r="K137" s="201">
        <f t="shared" si="101"/>
        <v>-219462582.19863403</v>
      </c>
    </row>
    <row r="138" spans="3:11" ht="15" customHeight="1" x14ac:dyDescent="0.25">
      <c r="C138" s="17" t="s">
        <v>200</v>
      </c>
      <c r="D138" s="202"/>
      <c r="E138" s="201"/>
      <c r="F138" s="201"/>
      <c r="G138" s="201">
        <f ca="1">-G250</f>
        <v>-1320516867.8035483</v>
      </c>
      <c r="H138" s="201">
        <f t="shared" ref="H138:K138" ca="1" si="102">-H250</f>
        <v>-1413946767.8753955</v>
      </c>
      <c r="I138" s="201">
        <f t="shared" ca="1" si="102"/>
        <v>-1522420478.0140626</v>
      </c>
      <c r="J138" s="201">
        <f t="shared" ca="1" si="102"/>
        <v>-1626035503.3959615</v>
      </c>
      <c r="K138" s="201">
        <f t="shared" ca="1" si="102"/>
        <v>-1735192585.1000836</v>
      </c>
    </row>
    <row r="139" spans="3:11" ht="15" customHeight="1" x14ac:dyDescent="0.25">
      <c r="C139" s="17" t="s">
        <v>231</v>
      </c>
      <c r="D139" s="202"/>
      <c r="E139" s="201"/>
      <c r="F139" s="201"/>
      <c r="G139" s="201">
        <f ca="1">-G256</f>
        <v>-130768939.39911889</v>
      </c>
      <c r="H139" s="201">
        <f t="shared" ref="H139:K139" ca="1" si="103">-H256</f>
        <v>-140021171.79269913</v>
      </c>
      <c r="I139" s="201">
        <f t="shared" ca="1" si="103"/>
        <v>-150763171.66666913</v>
      </c>
      <c r="J139" s="201">
        <f t="shared" ca="1" si="103"/>
        <v>-161024022.78138542</v>
      </c>
      <c r="K139" s="201">
        <f t="shared" ca="1" si="103"/>
        <v>-171833695.98616159</v>
      </c>
    </row>
    <row r="140" spans="3:11" ht="15" customHeight="1" x14ac:dyDescent="0.25">
      <c r="C140" s="13" t="s">
        <v>174</v>
      </c>
      <c r="D140" s="200"/>
      <c r="E140" s="204"/>
      <c r="F140" s="204"/>
      <c r="G140" s="204">
        <f ca="1">SUM(G136:G139)</f>
        <v>-1622988650.4592154</v>
      </c>
      <c r="H140" s="204">
        <f t="shared" ref="H140:K140" ca="1" si="104">SUM(H136:H139)</f>
        <v>-1737463938.070241</v>
      </c>
      <c r="I140" s="204">
        <f t="shared" ca="1" si="104"/>
        <v>-1869025869.1103632</v>
      </c>
      <c r="J140" s="204">
        <f t="shared" ca="1" si="104"/>
        <v>-1994496228.39974</v>
      </c>
      <c r="K140" s="204">
        <f t="shared" ca="1" si="104"/>
        <v>-2126488863.2848792</v>
      </c>
    </row>
    <row r="141" spans="3:11" ht="15" customHeight="1" x14ac:dyDescent="0.25">
      <c r="C141" s="13"/>
      <c r="D141" s="200"/>
      <c r="E141" s="204"/>
      <c r="F141" s="204"/>
      <c r="G141" s="204"/>
      <c r="H141" s="204"/>
      <c r="I141" s="204"/>
      <c r="J141" s="204"/>
      <c r="K141" s="204"/>
    </row>
    <row r="142" spans="3:11" ht="15" customHeight="1" x14ac:dyDescent="0.25">
      <c r="C142" s="13" t="s">
        <v>154</v>
      </c>
      <c r="D142" s="200"/>
      <c r="E142" s="204"/>
      <c r="F142" s="204"/>
      <c r="G142" s="204">
        <f ca="1">G129+G133+G140</f>
        <v>-861275264.96747768</v>
      </c>
      <c r="H142" s="204">
        <f ca="1">H129+H133+H140</f>
        <v>32142312.098205805</v>
      </c>
      <c r="I142" s="204">
        <f ca="1">I129+I133+I140</f>
        <v>59496019.859534979</v>
      </c>
      <c r="J142" s="204">
        <f ca="1">J129+J133+J140</f>
        <v>183718696.4934485</v>
      </c>
      <c r="K142" s="204">
        <f ca="1">K129+K133+K140</f>
        <v>220369930.38966131</v>
      </c>
    </row>
    <row r="143" spans="3:11" ht="15" customHeight="1" x14ac:dyDescent="0.25">
      <c r="C143" s="6" t="s">
        <v>155</v>
      </c>
      <c r="D143" s="200"/>
      <c r="E143" s="204"/>
      <c r="F143" s="204"/>
      <c r="G143" s="204">
        <f>F68</f>
        <v>4632540191</v>
      </c>
      <c r="H143" s="204">
        <f ca="1">G68</f>
        <v>3771264926.0325236</v>
      </c>
      <c r="I143" s="204">
        <f ca="1">H68</f>
        <v>3803407238.1307278</v>
      </c>
      <c r="J143" s="204">
        <f ca="1">I68</f>
        <v>3862903257.9902649</v>
      </c>
      <c r="K143" s="204">
        <f ca="1">J68</f>
        <v>4046621954.4837112</v>
      </c>
    </row>
    <row r="144" spans="3:11" ht="15" customHeight="1" x14ac:dyDescent="0.25">
      <c r="C144" s="13" t="s">
        <v>156</v>
      </c>
      <c r="D144" s="202"/>
      <c r="E144" s="204"/>
      <c r="F144" s="204"/>
      <c r="G144" s="204">
        <f ca="1">SUM(G142:G143)</f>
        <v>3771264926.0325222</v>
      </c>
      <c r="H144" s="204">
        <f t="shared" ref="H144:K144" ca="1" si="105">SUM(H142:H143)</f>
        <v>3803407238.1307297</v>
      </c>
      <c r="I144" s="204">
        <f t="shared" ca="1" si="105"/>
        <v>3862903257.990263</v>
      </c>
      <c r="J144" s="204">
        <f t="shared" ca="1" si="105"/>
        <v>4046621954.4837132</v>
      </c>
      <c r="K144" s="204">
        <f t="shared" ca="1" si="105"/>
        <v>4266991884.8733726</v>
      </c>
    </row>
    <row r="145" spans="3:11" ht="15" customHeight="1" x14ac:dyDescent="0.25">
      <c r="C145" s="13"/>
      <c r="D145" s="202"/>
      <c r="E145" s="205"/>
      <c r="F145" s="204"/>
      <c r="G145" s="205"/>
      <c r="H145" s="205"/>
      <c r="I145" s="205"/>
      <c r="J145" s="205"/>
      <c r="K145" s="205"/>
    </row>
    <row r="146" spans="3:11" ht="15" customHeight="1" x14ac:dyDescent="0.25">
      <c r="C146" s="13" t="s">
        <v>22</v>
      </c>
      <c r="D146" s="237"/>
      <c r="E146" s="237"/>
      <c r="F146" s="201"/>
      <c r="G146" s="201">
        <f ca="1">G144-G68</f>
        <v>0</v>
      </c>
      <c r="H146" s="201">
        <f ca="1">H144-H68</f>
        <v>0</v>
      </c>
      <c r="I146" s="201">
        <f ca="1">I144-I68</f>
        <v>0</v>
      </c>
      <c r="J146" s="201">
        <f ca="1">J144-J68</f>
        <v>0</v>
      </c>
      <c r="K146" s="201">
        <f ca="1">K144-K68</f>
        <v>0</v>
      </c>
    </row>
    <row r="147" spans="3:11" ht="15" customHeight="1" x14ac:dyDescent="0.25"/>
    <row r="148" spans="3:11" customFormat="1" x14ac:dyDescent="0.25">
      <c r="C148" s="39" t="s">
        <v>31</v>
      </c>
      <c r="D148" s="249"/>
      <c r="E148" s="40"/>
      <c r="F148" s="40"/>
      <c r="G148" s="40"/>
      <c r="H148" s="40"/>
      <c r="I148" s="40"/>
      <c r="J148" s="40"/>
      <c r="K148" s="40"/>
    </row>
    <row r="149" spans="3:11" customFormat="1" x14ac:dyDescent="0.25">
      <c r="C149" t="s">
        <v>42</v>
      </c>
      <c r="D149" s="41">
        <f t="shared" ref="D149:K149" si="106">D$13</f>
        <v>2023</v>
      </c>
      <c r="E149" s="41">
        <f t="shared" si="106"/>
        <v>2024</v>
      </c>
      <c r="F149" s="41">
        <f t="shared" si="106"/>
        <v>2025</v>
      </c>
      <c r="G149" s="42">
        <f t="shared" si="106"/>
        <v>2026</v>
      </c>
      <c r="H149" s="42">
        <f t="shared" si="106"/>
        <v>2027</v>
      </c>
      <c r="I149" s="42">
        <f t="shared" si="106"/>
        <v>2028</v>
      </c>
      <c r="J149" s="42">
        <f t="shared" si="106"/>
        <v>2029</v>
      </c>
      <c r="K149" s="42">
        <f t="shared" si="106"/>
        <v>2030</v>
      </c>
    </row>
    <row r="150" spans="3:11" customFormat="1" x14ac:dyDescent="0.25">
      <c r="C150" s="43" t="s">
        <v>43</v>
      </c>
      <c r="D150" s="250">
        <f t="shared" ref="D150:K150" si="107">D$14</f>
        <v>45291</v>
      </c>
      <c r="E150" s="232">
        <f t="shared" si="107"/>
        <v>45657</v>
      </c>
      <c r="F150" s="232">
        <f t="shared" si="107"/>
        <v>46022</v>
      </c>
      <c r="G150" s="232">
        <f t="shared" si="107"/>
        <v>46387</v>
      </c>
      <c r="H150" s="232">
        <f t="shared" si="107"/>
        <v>46752</v>
      </c>
      <c r="I150" s="232">
        <f t="shared" si="107"/>
        <v>47118</v>
      </c>
      <c r="J150" s="232">
        <f t="shared" si="107"/>
        <v>47483</v>
      </c>
      <c r="K150" s="232">
        <f t="shared" si="107"/>
        <v>47848</v>
      </c>
    </row>
    <row r="151" spans="3:11" ht="15" customHeight="1" x14ac:dyDescent="0.25"/>
    <row r="152" spans="3:11" ht="15" customHeight="1" x14ac:dyDescent="0.25">
      <c r="C152" s="17" t="s">
        <v>32</v>
      </c>
      <c r="D152" s="186"/>
      <c r="E152" s="187">
        <f>D155</f>
        <v>6374016607</v>
      </c>
      <c r="F152" s="187">
        <f t="shared" ref="F152:K152" si="108">E155</f>
        <v>8898631092</v>
      </c>
      <c r="G152" s="187">
        <f t="shared" si="108"/>
        <v>8145992227</v>
      </c>
      <c r="H152" s="187">
        <f t="shared" si="108"/>
        <v>7992646737.3435144</v>
      </c>
      <c r="I152" s="187">
        <f t="shared" si="108"/>
        <v>7828768940.1486216</v>
      </c>
      <c r="J152" s="187">
        <f t="shared" si="108"/>
        <v>7653864899.7479715</v>
      </c>
      <c r="K152" s="187">
        <f t="shared" si="108"/>
        <v>7468605983.4032278</v>
      </c>
    </row>
    <row r="153" spans="3:11" ht="15" customHeight="1" x14ac:dyDescent="0.25">
      <c r="C153" s="29" t="s">
        <v>33</v>
      </c>
      <c r="D153" s="199">
        <v>452552060</v>
      </c>
      <c r="E153" s="199">
        <v>786456390</v>
      </c>
      <c r="F153" s="199">
        <v>974456834</v>
      </c>
      <c r="G153" s="185">
        <f>G157*G16</f>
        <v>1042971738.5497104</v>
      </c>
      <c r="H153" s="185">
        <f>H157*H16</f>
        <v>1114606705.6353352</v>
      </c>
      <c r="I153" s="185">
        <f>I157*I16</f>
        <v>1189601151.6522565</v>
      </c>
      <c r="J153" s="185">
        <f>J157*J16</f>
        <v>1260029326.5537226</v>
      </c>
      <c r="K153" s="185">
        <f>K157*K16</f>
        <v>1333077930.2257645</v>
      </c>
    </row>
    <row r="154" spans="3:11" ht="15" customHeight="1" x14ac:dyDescent="0.25">
      <c r="C154" s="29" t="s">
        <v>34</v>
      </c>
      <c r="D154" s="199">
        <v>786336437</v>
      </c>
      <c r="E154" s="199">
        <v>1159905573</v>
      </c>
      <c r="F154" s="199">
        <v>1117728751</v>
      </c>
      <c r="G154" s="185">
        <f>G158*G16</f>
        <v>1196317228.206197</v>
      </c>
      <c r="H154" s="185">
        <f>H158*H16</f>
        <v>1278484502.8302279</v>
      </c>
      <c r="I154" s="185">
        <f>I158*I16</f>
        <v>1364505192.0529072</v>
      </c>
      <c r="J154" s="185">
        <f>J158*J16</f>
        <v>1445288242.8984671</v>
      </c>
      <c r="K154" s="185">
        <f>K158*K16</f>
        <v>1529076997.5111167</v>
      </c>
    </row>
    <row r="155" spans="3:11" ht="15" customHeight="1" x14ac:dyDescent="0.25">
      <c r="C155" s="16" t="s">
        <v>35</v>
      </c>
      <c r="D155" s="234">
        <f>D72</f>
        <v>6374016607</v>
      </c>
      <c r="E155" s="234">
        <f>E72</f>
        <v>8898631092</v>
      </c>
      <c r="F155" s="234">
        <f>F72</f>
        <v>8145992227</v>
      </c>
      <c r="G155" s="234">
        <f>G152+G153-G154</f>
        <v>7992646737.3435144</v>
      </c>
      <c r="H155" s="234">
        <f t="shared" ref="H155:K155" si="109">H152+H153-H154</f>
        <v>7828768940.1486216</v>
      </c>
      <c r="I155" s="234">
        <f t="shared" si="109"/>
        <v>7653864899.7479715</v>
      </c>
      <c r="J155" s="234">
        <f t="shared" si="109"/>
        <v>7468605983.4032278</v>
      </c>
      <c r="K155" s="234">
        <f t="shared" si="109"/>
        <v>7272606916.1178751</v>
      </c>
    </row>
    <row r="156" spans="3:11" ht="15" customHeight="1" x14ac:dyDescent="0.25">
      <c r="C156" s="13"/>
      <c r="D156" s="10"/>
      <c r="E156" s="158"/>
      <c r="F156" s="158"/>
      <c r="G156" s="159"/>
      <c r="H156" s="159"/>
      <c r="I156" s="159"/>
      <c r="J156" s="159"/>
      <c r="K156" s="159"/>
    </row>
    <row r="157" spans="3:11" ht="15" customHeight="1" x14ac:dyDescent="0.25">
      <c r="C157" s="6" t="s">
        <v>148</v>
      </c>
      <c r="D157" s="22">
        <f>D153/D16</f>
        <v>2.5627938816353817E-2</v>
      </c>
      <c r="E157" s="22">
        <f>E153/E16</f>
        <v>3.2379280510504031E-2</v>
      </c>
      <c r="F157" s="22">
        <f>F153/F16</f>
        <v>3.6602344878874205E-2</v>
      </c>
      <c r="G157" s="212">
        <f>F157</f>
        <v>3.6602344878874205E-2</v>
      </c>
      <c r="H157" s="212">
        <f>G157</f>
        <v>3.6602344878874205E-2</v>
      </c>
      <c r="I157" s="212">
        <f t="shared" ref="I157:K157" si="110">H157</f>
        <v>3.6602344878874205E-2</v>
      </c>
      <c r="J157" s="212">
        <f t="shared" si="110"/>
        <v>3.6602344878874205E-2</v>
      </c>
      <c r="K157" s="212">
        <f t="shared" si="110"/>
        <v>3.6602344878874205E-2</v>
      </c>
    </row>
    <row r="158" spans="3:11" ht="15" customHeight="1" x14ac:dyDescent="0.25">
      <c r="C158" s="6" t="s">
        <v>177</v>
      </c>
      <c r="D158" s="22">
        <f>D154/D16</f>
        <v>4.4530085878971927E-2</v>
      </c>
      <c r="E158" s="22">
        <f>E154/E16</f>
        <v>4.7754596938126358E-2</v>
      </c>
      <c r="F158" s="22">
        <f>F154/F16</f>
        <v>4.1983894819845151E-2</v>
      </c>
      <c r="G158" s="212">
        <f>F158</f>
        <v>4.1983894819845151E-2</v>
      </c>
      <c r="H158" s="212">
        <f t="shared" ref="H158:K158" si="111">G158</f>
        <v>4.1983894819845151E-2</v>
      </c>
      <c r="I158" s="212">
        <f t="shared" si="111"/>
        <v>4.1983894819845151E-2</v>
      </c>
      <c r="J158" s="212">
        <f t="shared" si="111"/>
        <v>4.1983894819845151E-2</v>
      </c>
      <c r="K158" s="212">
        <f t="shared" si="111"/>
        <v>4.1983894819845151E-2</v>
      </c>
    </row>
    <row r="159" spans="3:11" ht="15" customHeight="1" x14ac:dyDescent="0.25">
      <c r="E159" s="1"/>
      <c r="F159" s="1"/>
      <c r="G159" s="1"/>
      <c r="H159" s="1"/>
      <c r="I159" s="1"/>
      <c r="J159" s="1"/>
      <c r="K159" s="1"/>
    </row>
    <row r="160" spans="3:11" s="35" customFormat="1" ht="15" customHeight="1" x14ac:dyDescent="0.25">
      <c r="C160" s="45" t="s">
        <v>36</v>
      </c>
      <c r="D160" s="47"/>
      <c r="E160" s="47"/>
      <c r="F160" s="47"/>
      <c r="G160" s="47"/>
      <c r="H160" s="47"/>
      <c r="I160" s="47"/>
      <c r="J160" s="47"/>
      <c r="K160" s="47"/>
    </row>
    <row r="161" spans="1:11" s="31" customFormat="1" ht="15" customHeight="1" x14ac:dyDescent="0.25">
      <c r="C161" s="32"/>
      <c r="D161" s="33"/>
      <c r="E161" s="34"/>
      <c r="F161" s="34"/>
      <c r="G161" s="34"/>
      <c r="H161" s="34"/>
      <c r="I161" s="34"/>
      <c r="J161" s="34"/>
      <c r="K161" s="34"/>
    </row>
    <row r="162" spans="1:11" s="31" customFormat="1" ht="15" customHeight="1" x14ac:dyDescent="0.25">
      <c r="C162" s="35" t="s">
        <v>37</v>
      </c>
      <c r="D162" s="10">
        <v>114863874</v>
      </c>
      <c r="E162" s="10">
        <v>135886499</v>
      </c>
      <c r="F162" s="10">
        <v>159152334</v>
      </c>
      <c r="G162" s="36">
        <f>G269</f>
        <v>171702843.25654814</v>
      </c>
      <c r="H162" s="36">
        <f t="shared" ref="H162:K162" si="112">H269</f>
        <v>183495998.40214637</v>
      </c>
      <c r="I162" s="36">
        <f t="shared" si="112"/>
        <v>195842219.42963141</v>
      </c>
      <c r="J162" s="36">
        <f t="shared" si="112"/>
        <v>207436702.22239295</v>
      </c>
      <c r="K162" s="36">
        <f t="shared" si="112"/>
        <v>219462582.19863403</v>
      </c>
    </row>
    <row r="163" spans="1:11" s="31" customFormat="1" ht="15" customHeight="1" x14ac:dyDescent="0.25">
      <c r="A163" s="32"/>
      <c r="B163" s="32"/>
      <c r="C163" s="24" t="s">
        <v>38</v>
      </c>
      <c r="D163" s="37">
        <f t="shared" ref="D163:K163" si="113">D162/D16</f>
        <v>6.5047197776127103E-3</v>
      </c>
      <c r="E163" s="37">
        <f t="shared" si="113"/>
        <v>5.5945976466811147E-3</v>
      </c>
      <c r="F163" s="37">
        <f t="shared" si="113"/>
        <v>5.9780468606634831E-3</v>
      </c>
      <c r="G163" s="37">
        <f t="shared" si="113"/>
        <v>6.0257880949857691E-3</v>
      </c>
      <c r="H163" s="37">
        <f t="shared" si="113"/>
        <v>6.0257880949857691E-3</v>
      </c>
      <c r="I163" s="37">
        <f t="shared" si="113"/>
        <v>6.0257880949857691E-3</v>
      </c>
      <c r="J163" s="37">
        <f t="shared" si="113"/>
        <v>6.0257880949857691E-3</v>
      </c>
      <c r="K163" s="37">
        <f t="shared" si="113"/>
        <v>6.0257880949857691E-3</v>
      </c>
    </row>
    <row r="164" spans="1:11" ht="15" customHeight="1" x14ac:dyDescent="0.25">
      <c r="C164" s="38" t="s">
        <v>39</v>
      </c>
      <c r="D164" s="30">
        <f>D154+D162</f>
        <v>901200311</v>
      </c>
      <c r="E164" s="30">
        <f t="shared" ref="E164:K164" si="114">E154+E162</f>
        <v>1295792072</v>
      </c>
      <c r="F164" s="30">
        <f t="shared" si="114"/>
        <v>1276881085</v>
      </c>
      <c r="G164" s="30">
        <f t="shared" si="114"/>
        <v>1368020071.4627452</v>
      </c>
      <c r="H164" s="30">
        <f t="shared" si="114"/>
        <v>1461980501.2323742</v>
      </c>
      <c r="I164" s="30">
        <f t="shared" si="114"/>
        <v>1560347411.4825387</v>
      </c>
      <c r="J164" s="30">
        <f t="shared" si="114"/>
        <v>1652724945.1208601</v>
      </c>
      <c r="K164" s="30">
        <f t="shared" si="114"/>
        <v>1748539579.7097507</v>
      </c>
    </row>
    <row r="166" spans="1:11" x14ac:dyDescent="0.25">
      <c r="C166" s="13" t="s">
        <v>206</v>
      </c>
      <c r="D166" s="261"/>
      <c r="E166" s="13"/>
      <c r="F166" s="13"/>
      <c r="G166" s="13"/>
      <c r="H166" s="13"/>
      <c r="I166" s="13"/>
      <c r="J166" s="13"/>
      <c r="K166" s="13"/>
    </row>
    <row r="167" spans="1:11" x14ac:dyDescent="0.25">
      <c r="C167" s="48" t="s">
        <v>42</v>
      </c>
      <c r="D167" s="49">
        <f t="shared" ref="D167:K167" si="115">D$13</f>
        <v>2023</v>
      </c>
      <c r="E167" s="49">
        <f t="shared" si="115"/>
        <v>2024</v>
      </c>
      <c r="F167" s="49">
        <f t="shared" si="115"/>
        <v>2025</v>
      </c>
      <c r="G167" s="50">
        <f t="shared" si="115"/>
        <v>2026</v>
      </c>
      <c r="H167" s="50">
        <f t="shared" si="115"/>
        <v>2027</v>
      </c>
      <c r="I167" s="50">
        <f t="shared" si="115"/>
        <v>2028</v>
      </c>
      <c r="J167" s="50">
        <f t="shared" si="115"/>
        <v>2029</v>
      </c>
      <c r="K167" s="50">
        <f t="shared" si="115"/>
        <v>2030</v>
      </c>
    </row>
    <row r="168" spans="1:11" x14ac:dyDescent="0.25">
      <c r="C168" s="43" t="s">
        <v>43</v>
      </c>
      <c r="D168" s="44">
        <f t="shared" ref="D168:K168" si="116">D$14</f>
        <v>45291</v>
      </c>
      <c r="E168" s="44">
        <f t="shared" si="116"/>
        <v>45657</v>
      </c>
      <c r="F168" s="44">
        <f t="shared" si="116"/>
        <v>46022</v>
      </c>
      <c r="G168" s="44">
        <f t="shared" si="116"/>
        <v>46387</v>
      </c>
      <c r="H168" s="44">
        <f t="shared" si="116"/>
        <v>46752</v>
      </c>
      <c r="I168" s="44">
        <f t="shared" si="116"/>
        <v>47118</v>
      </c>
      <c r="J168" s="44">
        <f t="shared" si="116"/>
        <v>47483</v>
      </c>
      <c r="K168" s="44">
        <f t="shared" si="116"/>
        <v>47848</v>
      </c>
    </row>
    <row r="169" spans="1:11" x14ac:dyDescent="0.25">
      <c r="C169" s="35"/>
      <c r="D169" s="262"/>
      <c r="E169" s="35"/>
      <c r="F169" s="197"/>
      <c r="G169" s="265"/>
      <c r="H169" s="35"/>
    </row>
    <row r="170" spans="1:11" x14ac:dyDescent="0.25">
      <c r="C170" s="45" t="s">
        <v>285</v>
      </c>
      <c r="D170" s="262"/>
      <c r="E170" s="35"/>
      <c r="F170" s="197"/>
      <c r="G170" s="265"/>
      <c r="H170" s="35"/>
    </row>
    <row r="171" spans="1:11" x14ac:dyDescent="0.25">
      <c r="C171" s="17" t="s">
        <v>286</v>
      </c>
      <c r="D171" s="273">
        <v>5187000000</v>
      </c>
      <c r="E171" s="273">
        <v>6494000000</v>
      </c>
      <c r="F171" s="273">
        <v>6873000000</v>
      </c>
      <c r="G171" s="201">
        <f>F171*(1+G188)</f>
        <v>7216650000</v>
      </c>
      <c r="H171" s="201">
        <f t="shared" ref="H171:K171" si="117">G171*(1+H188)</f>
        <v>7613565750</v>
      </c>
      <c r="I171" s="201">
        <f t="shared" si="117"/>
        <v>7994244037.5</v>
      </c>
      <c r="J171" s="201">
        <f t="shared" si="117"/>
        <v>8353985019.187499</v>
      </c>
      <c r="K171" s="201">
        <f t="shared" si="117"/>
        <v>8688144419.9549999</v>
      </c>
    </row>
    <row r="172" spans="1:11" x14ac:dyDescent="0.25">
      <c r="C172" s="17" t="s">
        <v>287</v>
      </c>
      <c r="D172" s="273">
        <v>742000000</v>
      </c>
      <c r="E172" s="273">
        <v>1090000000</v>
      </c>
      <c r="F172" s="273">
        <v>1044000000</v>
      </c>
      <c r="G172" s="201">
        <f t="shared" ref="G172:K172" si="118">F172*(1+G189)</f>
        <v>1075320000</v>
      </c>
      <c r="H172" s="201">
        <f t="shared" si="118"/>
        <v>1118332800</v>
      </c>
      <c r="I172" s="201">
        <f t="shared" si="118"/>
        <v>1163066112</v>
      </c>
      <c r="J172" s="201">
        <f t="shared" si="118"/>
        <v>1209588756.48</v>
      </c>
      <c r="K172" s="201">
        <f t="shared" si="118"/>
        <v>1257972306.7392001</v>
      </c>
    </row>
    <row r="173" spans="1:11" x14ac:dyDescent="0.25">
      <c r="C173" s="17" t="s">
        <v>288</v>
      </c>
      <c r="D173" s="273">
        <v>347000000</v>
      </c>
      <c r="E173" s="273">
        <v>521000000</v>
      </c>
      <c r="F173" s="273">
        <v>783000000</v>
      </c>
      <c r="G173" s="201">
        <f t="shared" ref="G173:K173" si="119">F173*(1+G190)</f>
        <v>845640000</v>
      </c>
      <c r="H173" s="201">
        <f t="shared" si="119"/>
        <v>904834800</v>
      </c>
      <c r="I173" s="201">
        <f t="shared" si="119"/>
        <v>959124888</v>
      </c>
      <c r="J173" s="201">
        <f t="shared" si="119"/>
        <v>1011876756.8399999</v>
      </c>
      <c r="K173" s="201">
        <f t="shared" si="119"/>
        <v>1062470594.6819999</v>
      </c>
    </row>
    <row r="174" spans="1:11" x14ac:dyDescent="0.25">
      <c r="C174" s="17" t="s">
        <v>289</v>
      </c>
      <c r="D174" s="273">
        <v>191000000</v>
      </c>
      <c r="E174" s="273">
        <v>135000000</v>
      </c>
      <c r="F174" s="273">
        <v>0</v>
      </c>
      <c r="G174" s="201">
        <f t="shared" ref="G174:K174" si="120">F174*(1+G191)</f>
        <v>0</v>
      </c>
      <c r="H174" s="201">
        <f t="shared" si="120"/>
        <v>0</v>
      </c>
      <c r="I174" s="201">
        <f t="shared" si="120"/>
        <v>0</v>
      </c>
      <c r="J174" s="201">
        <f t="shared" si="120"/>
        <v>0</v>
      </c>
      <c r="K174" s="201">
        <f t="shared" si="120"/>
        <v>0</v>
      </c>
    </row>
    <row r="175" spans="1:11" x14ac:dyDescent="0.25">
      <c r="C175" s="38" t="s">
        <v>204</v>
      </c>
      <c r="D175" s="263">
        <f t="shared" ref="D175" si="121">SUM(D171:D174)</f>
        <v>6467000000</v>
      </c>
      <c r="E175" s="263">
        <f t="shared" ref="E175" si="122">SUM(E171:E174)</f>
        <v>8240000000</v>
      </c>
      <c r="F175" s="263">
        <f t="shared" ref="F175" si="123">SUM(F171:F174)</f>
        <v>8700000000</v>
      </c>
      <c r="G175" s="263">
        <f t="shared" ref="G175" si="124">SUM(G171:G174)</f>
        <v>9137610000</v>
      </c>
      <c r="H175" s="263">
        <f t="shared" ref="H175" si="125">SUM(H171:H174)</f>
        <v>9636733350</v>
      </c>
      <c r="I175" s="263">
        <f t="shared" ref="I175" si="126">SUM(I171:I174)</f>
        <v>10116435037.5</v>
      </c>
      <c r="J175" s="263">
        <f t="shared" ref="J175" si="127">SUM(J171:J174)</f>
        <v>10575450532.5075</v>
      </c>
      <c r="K175" s="263">
        <f t="shared" ref="K175" si="128">SUM(K171:K174)</f>
        <v>11008587321.3762</v>
      </c>
    </row>
    <row r="176" spans="1:11" x14ac:dyDescent="0.25">
      <c r="C176" s="198"/>
      <c r="D176" s="204"/>
      <c r="E176" s="204"/>
      <c r="F176" s="204"/>
      <c r="G176" s="204"/>
      <c r="H176" s="204"/>
      <c r="I176" s="204"/>
      <c r="J176" s="204"/>
      <c r="K176" s="204"/>
    </row>
    <row r="177" spans="3:11" x14ac:dyDescent="0.25">
      <c r="C177" s="45" t="s">
        <v>290</v>
      </c>
      <c r="D177" s="262"/>
      <c r="E177" s="35"/>
      <c r="F177" s="197"/>
      <c r="G177" s="265"/>
      <c r="H177" s="35"/>
    </row>
    <row r="178" spans="3:11" x14ac:dyDescent="0.25">
      <c r="C178" s="17" t="s">
        <v>286</v>
      </c>
      <c r="D178" s="273">
        <v>8357000000</v>
      </c>
      <c r="E178" s="273">
        <v>11566000000</v>
      </c>
      <c r="F178" s="273">
        <v>13604000000</v>
      </c>
      <c r="G178" s="201">
        <f>F178*(1+G194)</f>
        <v>14828360000.000002</v>
      </c>
      <c r="H178" s="201">
        <f t="shared" ref="H178:K178" si="129">G178*(1+H194)</f>
        <v>16014628800.000004</v>
      </c>
      <c r="I178" s="201">
        <f t="shared" si="129"/>
        <v>17295799104.000004</v>
      </c>
      <c r="J178" s="201">
        <f t="shared" si="129"/>
        <v>18506505041.280006</v>
      </c>
      <c r="K178" s="201">
        <f t="shared" si="129"/>
        <v>19801960394.169609</v>
      </c>
    </row>
    <row r="179" spans="3:11" x14ac:dyDescent="0.25">
      <c r="C179" s="17" t="s">
        <v>287</v>
      </c>
      <c r="D179" s="273">
        <v>2439000000</v>
      </c>
      <c r="E179" s="273">
        <v>3657000000</v>
      </c>
      <c r="F179" s="273">
        <v>3401000000</v>
      </c>
      <c r="G179" s="201">
        <f t="shared" ref="G179:K179" si="130">F179*(1+G195)</f>
        <v>3571050000</v>
      </c>
      <c r="H179" s="201">
        <f t="shared" si="130"/>
        <v>3785313000</v>
      </c>
      <c r="I179" s="201">
        <f t="shared" si="130"/>
        <v>4012431780</v>
      </c>
      <c r="J179" s="201">
        <f t="shared" si="130"/>
        <v>4213053369</v>
      </c>
      <c r="K179" s="201">
        <f t="shared" si="130"/>
        <v>4423706037.4499998</v>
      </c>
    </row>
    <row r="180" spans="3:11" x14ac:dyDescent="0.25">
      <c r="C180" s="17" t="s">
        <v>288</v>
      </c>
      <c r="D180" s="273">
        <v>395000000</v>
      </c>
      <c r="E180" s="273">
        <v>826000000</v>
      </c>
      <c r="F180" s="273">
        <v>895000000</v>
      </c>
      <c r="G180" s="201">
        <f t="shared" ref="G180:K180" si="131">F180*(1+G196)</f>
        <v>957650000</v>
      </c>
      <c r="H180" s="201">
        <f t="shared" si="131"/>
        <v>1015109000</v>
      </c>
      <c r="I180" s="201">
        <f t="shared" si="131"/>
        <v>1076015540</v>
      </c>
      <c r="J180" s="201">
        <f t="shared" si="131"/>
        <v>1129816317</v>
      </c>
      <c r="K180" s="201">
        <f t="shared" si="131"/>
        <v>1186307132.8500001</v>
      </c>
    </row>
    <row r="181" spans="3:11" x14ac:dyDescent="0.25">
      <c r="C181" s="38" t="s">
        <v>204</v>
      </c>
      <c r="D181" s="263">
        <f t="shared" ref="D181" si="132">SUM(D177:D180)</f>
        <v>11191000000</v>
      </c>
      <c r="E181" s="263">
        <f t="shared" ref="E181" si="133">SUM(E177:E180)</f>
        <v>16049000000</v>
      </c>
      <c r="F181" s="263">
        <f t="shared" ref="F181" si="134">SUM(F177:F180)</f>
        <v>17900000000</v>
      </c>
      <c r="G181" s="263">
        <f t="shared" ref="G181" si="135">SUM(G177:G180)</f>
        <v>19357060000</v>
      </c>
      <c r="H181" s="263">
        <f t="shared" ref="H181" si="136">SUM(H177:H180)</f>
        <v>20815050800.000004</v>
      </c>
      <c r="I181" s="263">
        <f t="shared" ref="I181" si="137">SUM(I177:I180)</f>
        <v>22384246424.000004</v>
      </c>
      <c r="J181" s="263">
        <f t="shared" ref="J181" si="138">SUM(J177:J180)</f>
        <v>23849374727.280006</v>
      </c>
      <c r="K181" s="263">
        <f t="shared" ref="K181" si="139">SUM(K177:K180)</f>
        <v>25411973564.469608</v>
      </c>
    </row>
    <row r="182" spans="3:11" x14ac:dyDescent="0.25">
      <c r="C182" s="264"/>
      <c r="D182" s="201"/>
      <c r="E182" s="201"/>
      <c r="F182" s="201"/>
      <c r="G182" s="201"/>
      <c r="H182" s="201"/>
      <c r="I182" s="201"/>
      <c r="J182" s="201"/>
      <c r="K182" s="201"/>
    </row>
    <row r="183" spans="3:11" x14ac:dyDescent="0.25">
      <c r="C183" s="198" t="s">
        <v>293</v>
      </c>
      <c r="D183" s="204">
        <f>D16</f>
        <v>17658543016</v>
      </c>
      <c r="E183" s="204">
        <f>E16</f>
        <v>24288877875</v>
      </c>
      <c r="F183" s="204">
        <f>F16</f>
        <v>26622797999</v>
      </c>
      <c r="G183" s="204">
        <f t="shared" ref="G183:K183" si="140">G175+G181</f>
        <v>28494670000</v>
      </c>
      <c r="H183" s="204">
        <f t="shared" si="140"/>
        <v>30451784150.000004</v>
      </c>
      <c r="I183" s="204">
        <f t="shared" si="140"/>
        <v>32500681461.500004</v>
      </c>
      <c r="J183" s="204">
        <f t="shared" si="140"/>
        <v>34424825259.787506</v>
      </c>
      <c r="K183" s="204">
        <f t="shared" si="140"/>
        <v>36420560885.84581</v>
      </c>
    </row>
    <row r="184" spans="3:11" x14ac:dyDescent="0.25">
      <c r="C184" s="264"/>
      <c r="D184" s="201"/>
      <c r="E184" s="201"/>
      <c r="F184" s="201"/>
      <c r="G184" s="201"/>
      <c r="H184" s="201"/>
      <c r="I184" s="201"/>
      <c r="J184" s="201"/>
      <c r="K184" s="201"/>
    </row>
    <row r="185" spans="3:11" x14ac:dyDescent="0.25">
      <c r="C185" s="6" t="s">
        <v>205</v>
      </c>
      <c r="D185" s="201"/>
      <c r="E185" s="201"/>
      <c r="F185" s="201"/>
      <c r="G185" s="201">
        <f>(G181+G175)-G16</f>
        <v>0</v>
      </c>
      <c r="H185" s="201">
        <f>(H181+H175)-H16</f>
        <v>0</v>
      </c>
      <c r="I185" s="201">
        <f>(I181+I175)-I16</f>
        <v>0</v>
      </c>
      <c r="J185" s="201">
        <f>(J181+J175)-J16</f>
        <v>0</v>
      </c>
      <c r="K185" s="201">
        <f>(K181+K175)-K16</f>
        <v>0</v>
      </c>
    </row>
    <row r="186" spans="3:11" x14ac:dyDescent="0.25">
      <c r="D186" s="201"/>
      <c r="E186" s="201"/>
      <c r="F186" s="201"/>
      <c r="G186" s="201"/>
      <c r="H186" s="201"/>
      <c r="I186" s="201"/>
      <c r="J186" s="201"/>
      <c r="K186" s="201"/>
    </row>
    <row r="187" spans="3:11" x14ac:dyDescent="0.25">
      <c r="C187" s="13" t="s">
        <v>291</v>
      </c>
      <c r="D187" s="201"/>
      <c r="E187" s="201"/>
      <c r="F187" s="201"/>
      <c r="G187" s="201"/>
      <c r="H187" s="201"/>
      <c r="I187" s="201"/>
      <c r="J187" s="201"/>
      <c r="K187" s="201"/>
    </row>
    <row r="188" spans="3:11" x14ac:dyDescent="0.25">
      <c r="C188" s="17" t="s">
        <v>286</v>
      </c>
      <c r="D188" s="7"/>
      <c r="E188" s="1">
        <f>E171/D171-1</f>
        <v>0.25197609408135735</v>
      </c>
      <c r="F188" s="1">
        <f t="shared" ref="F188:F191" si="141">F171/E171-1</f>
        <v>5.8361564521096421E-2</v>
      </c>
      <c r="G188" s="212">
        <v>0.05</v>
      </c>
      <c r="H188" s="212">
        <v>5.5E-2</v>
      </c>
      <c r="I188" s="212">
        <v>0.05</v>
      </c>
      <c r="J188" s="212">
        <v>4.4999999999999998E-2</v>
      </c>
      <c r="K188" s="212">
        <v>0.04</v>
      </c>
    </row>
    <row r="189" spans="3:11" x14ac:dyDescent="0.25">
      <c r="C189" s="17" t="s">
        <v>287</v>
      </c>
      <c r="D189" s="7"/>
      <c r="E189" s="1">
        <f t="shared" ref="E189" si="142">E172/D172-1</f>
        <v>0.46900269541778972</v>
      </c>
      <c r="F189" s="1">
        <f t="shared" si="141"/>
        <v>-4.2201834862385268E-2</v>
      </c>
      <c r="G189" s="212">
        <v>0.03</v>
      </c>
      <c r="H189" s="212">
        <v>0.04</v>
      </c>
      <c r="I189" s="212">
        <v>0.04</v>
      </c>
      <c r="J189" s="212">
        <v>0.04</v>
      </c>
      <c r="K189" s="212">
        <v>0.04</v>
      </c>
    </row>
    <row r="190" spans="3:11" x14ac:dyDescent="0.25">
      <c r="C190" s="17" t="s">
        <v>288</v>
      </c>
      <c r="D190" s="7"/>
      <c r="E190" s="1">
        <f t="shared" ref="E190" si="143">E173/D173-1</f>
        <v>0.50144092219020164</v>
      </c>
      <c r="F190" s="1">
        <f t="shared" si="141"/>
        <v>0.50287907869481763</v>
      </c>
      <c r="G190" s="212">
        <v>0.08</v>
      </c>
      <c r="H190" s="212">
        <v>7.0000000000000007E-2</v>
      </c>
      <c r="I190" s="212">
        <v>0.06</v>
      </c>
      <c r="J190" s="212">
        <v>5.5E-2</v>
      </c>
      <c r="K190" s="212">
        <v>0.05</v>
      </c>
    </row>
    <row r="191" spans="3:11" x14ac:dyDescent="0.25">
      <c r="C191" s="17" t="s">
        <v>289</v>
      </c>
      <c r="D191" s="7"/>
      <c r="E191" s="1">
        <f t="shared" ref="E191" si="144">E174/D174-1</f>
        <v>-0.29319371727748689</v>
      </c>
      <c r="F191" s="1">
        <f t="shared" si="141"/>
        <v>-1</v>
      </c>
      <c r="G191" s="212"/>
      <c r="H191" s="212"/>
      <c r="I191" s="212"/>
      <c r="J191" s="212"/>
      <c r="K191" s="212"/>
    </row>
    <row r="192" spans="3:11" x14ac:dyDescent="0.25">
      <c r="C192" s="228"/>
      <c r="D192" s="7"/>
      <c r="E192" s="1"/>
      <c r="F192" s="1"/>
      <c r="G192" s="212"/>
      <c r="H192" s="212"/>
      <c r="I192" s="212"/>
      <c r="J192" s="212"/>
      <c r="K192" s="212"/>
    </row>
    <row r="193" spans="3:11" x14ac:dyDescent="0.25">
      <c r="C193" s="13" t="s">
        <v>292</v>
      </c>
      <c r="D193" s="201"/>
      <c r="E193" s="201"/>
      <c r="F193" s="201"/>
      <c r="G193" s="212"/>
      <c r="H193" s="212"/>
      <c r="I193" s="212"/>
      <c r="J193" s="212"/>
      <c r="K193" s="212"/>
    </row>
    <row r="194" spans="3:11" x14ac:dyDescent="0.25">
      <c r="C194" s="17" t="s">
        <v>286</v>
      </c>
      <c r="D194" s="7"/>
      <c r="E194" s="1">
        <f t="shared" ref="E194:F196" si="145">E178/D178-1</f>
        <v>0.38398946990546845</v>
      </c>
      <c r="F194" s="1">
        <f t="shared" si="145"/>
        <v>0.17620612139028191</v>
      </c>
      <c r="G194" s="212">
        <v>0.09</v>
      </c>
      <c r="H194" s="212">
        <v>0.08</v>
      </c>
      <c r="I194" s="212">
        <v>0.08</v>
      </c>
      <c r="J194" s="212">
        <v>7.0000000000000007E-2</v>
      </c>
      <c r="K194" s="212">
        <v>7.0000000000000007E-2</v>
      </c>
    </row>
    <row r="195" spans="3:11" x14ac:dyDescent="0.25">
      <c r="C195" s="17" t="s">
        <v>287</v>
      </c>
      <c r="D195" s="7"/>
      <c r="E195" s="1">
        <f t="shared" si="145"/>
        <v>0.4993849938499384</v>
      </c>
      <c r="F195" s="1">
        <f t="shared" si="145"/>
        <v>-7.0002734481815709E-2</v>
      </c>
      <c r="G195" s="212">
        <v>0.05</v>
      </c>
      <c r="H195" s="212">
        <v>0.06</v>
      </c>
      <c r="I195" s="212">
        <v>0.06</v>
      </c>
      <c r="J195" s="212">
        <v>0.05</v>
      </c>
      <c r="K195" s="212">
        <v>0.05</v>
      </c>
    </row>
    <row r="196" spans="3:11" x14ac:dyDescent="0.25">
      <c r="C196" s="17" t="s">
        <v>288</v>
      </c>
      <c r="D196" s="7"/>
      <c r="E196" s="1">
        <f t="shared" si="145"/>
        <v>1.0911392405063292</v>
      </c>
      <c r="F196" s="1">
        <f t="shared" si="145"/>
        <v>8.3535108958837867E-2</v>
      </c>
      <c r="G196" s="212">
        <v>7.0000000000000007E-2</v>
      </c>
      <c r="H196" s="212">
        <v>0.06</v>
      </c>
      <c r="I196" s="212">
        <v>0.06</v>
      </c>
      <c r="J196" s="212">
        <v>0.05</v>
      </c>
      <c r="K196" s="212">
        <v>0.05</v>
      </c>
    </row>
    <row r="197" spans="3:11" x14ac:dyDescent="0.25">
      <c r="C197" s="228"/>
      <c r="D197" s="7"/>
      <c r="E197" s="1"/>
      <c r="F197" s="1"/>
      <c r="G197" s="1"/>
      <c r="H197" s="1"/>
      <c r="I197" s="1"/>
      <c r="J197" s="1"/>
      <c r="K197" s="1"/>
    </row>
    <row r="198" spans="3:11" x14ac:dyDescent="0.25">
      <c r="C198" s="13" t="s">
        <v>157</v>
      </c>
    </row>
    <row r="199" spans="3:11" x14ac:dyDescent="0.25">
      <c r="C199" s="48" t="s">
        <v>42</v>
      </c>
      <c r="D199" s="49">
        <f>D$13</f>
        <v>2023</v>
      </c>
      <c r="E199" s="49">
        <f t="shared" ref="E199:K199" si="146">E$13</f>
        <v>2024</v>
      </c>
      <c r="F199" s="49">
        <f t="shared" si="146"/>
        <v>2025</v>
      </c>
      <c r="G199" s="50">
        <f t="shared" si="146"/>
        <v>2026</v>
      </c>
      <c r="H199" s="50">
        <f t="shared" si="146"/>
        <v>2027</v>
      </c>
      <c r="I199" s="50">
        <f t="shared" si="146"/>
        <v>2028</v>
      </c>
      <c r="J199" s="50">
        <f t="shared" si="146"/>
        <v>2029</v>
      </c>
      <c r="K199" s="50">
        <f t="shared" si="146"/>
        <v>2030</v>
      </c>
    </row>
    <row r="200" spans="3:11" x14ac:dyDescent="0.25">
      <c r="C200" s="43" t="s">
        <v>43</v>
      </c>
      <c r="D200" s="250">
        <f>D$14</f>
        <v>45291</v>
      </c>
      <c r="E200" s="232">
        <f t="shared" ref="E200:K200" si="147">E$14</f>
        <v>45657</v>
      </c>
      <c r="F200" s="232">
        <f t="shared" si="147"/>
        <v>46022</v>
      </c>
      <c r="G200" s="232">
        <f t="shared" si="147"/>
        <v>46387</v>
      </c>
      <c r="H200" s="232">
        <f t="shared" si="147"/>
        <v>46752</v>
      </c>
      <c r="I200" s="232">
        <f t="shared" si="147"/>
        <v>47118</v>
      </c>
      <c r="J200" s="232">
        <f t="shared" si="147"/>
        <v>47483</v>
      </c>
      <c r="K200" s="232">
        <f t="shared" si="147"/>
        <v>47848</v>
      </c>
    </row>
    <row r="201" spans="3:11" x14ac:dyDescent="0.25">
      <c r="D201" s="6"/>
    </row>
    <row r="202" spans="3:11" x14ac:dyDescent="0.25">
      <c r="C202" s="13" t="s">
        <v>158</v>
      </c>
      <c r="D202" s="6"/>
    </row>
    <row r="203" spans="3:11" x14ac:dyDescent="0.25">
      <c r="C203" s="17" t="s">
        <v>261</v>
      </c>
      <c r="D203" s="27">
        <f t="shared" ref="D203:F205" si="148">D61</f>
        <v>6927440585</v>
      </c>
      <c r="E203" s="27">
        <f t="shared" si="148"/>
        <v>11460683769</v>
      </c>
      <c r="F203" s="27">
        <f t="shared" si="148"/>
        <v>10152672252</v>
      </c>
      <c r="G203" s="27">
        <f>G220/365*-G17</f>
        <v>11920684270.506746</v>
      </c>
      <c r="H203" s="27">
        <f>H220/365*-H17</f>
        <v>12739438790.685125</v>
      </c>
      <c r="I203" s="27">
        <f>I220/365*-I17</f>
        <v>13596590600.236933</v>
      </c>
      <c r="J203" s="27">
        <f>J220/365*-J17</f>
        <v>14401552044.269762</v>
      </c>
      <c r="K203" s="27">
        <f>K220/365*-K17</f>
        <v>15236463776.381176</v>
      </c>
    </row>
    <row r="204" spans="3:11" x14ac:dyDescent="0.25">
      <c r="C204" s="17" t="s">
        <v>262</v>
      </c>
      <c r="D204" s="27">
        <f t="shared" si="148"/>
        <v>3162570053</v>
      </c>
      <c r="E204" s="27">
        <f t="shared" si="148"/>
        <v>4993106186</v>
      </c>
      <c r="F204" s="27">
        <f t="shared" si="148"/>
        <v>4534598797</v>
      </c>
      <c r="G204" s="27">
        <f>G221/365*G16</f>
        <v>5271467603.2650433</v>
      </c>
      <c r="H204" s="27">
        <f>H221/365*H16</f>
        <v>5633530537.7582874</v>
      </c>
      <c r="I204" s="27">
        <f>I221/365*I16</f>
        <v>6012573207.8432226</v>
      </c>
      <c r="J204" s="27">
        <f>J221/365*J16</f>
        <v>6368536680.8961096</v>
      </c>
      <c r="K204" s="27">
        <f>K221/365*K16</f>
        <v>6737744525.6421003</v>
      </c>
    </row>
    <row r="205" spans="3:11" x14ac:dyDescent="0.25">
      <c r="C205" s="17" t="s">
        <v>263</v>
      </c>
      <c r="D205" s="27">
        <f t="shared" si="148"/>
        <v>714653249</v>
      </c>
      <c r="E205" s="27">
        <f t="shared" si="148"/>
        <v>1246108062</v>
      </c>
      <c r="F205" s="27">
        <f t="shared" si="148"/>
        <v>1371760380</v>
      </c>
      <c r="G205" s="27">
        <f>$F205/$F$16*G$16</f>
        <v>1468210041.2076449</v>
      </c>
      <c r="H205" s="27">
        <f t="shared" ref="H205:K205" si="149">$F205/$F$16*H$16</f>
        <v>1569051870.4627151</v>
      </c>
      <c r="I205" s="27">
        <f t="shared" si="149"/>
        <v>1674622898.523319</v>
      </c>
      <c r="J205" s="27">
        <f t="shared" si="149"/>
        <v>1773765904.7547698</v>
      </c>
      <c r="K205" s="27">
        <f t="shared" si="149"/>
        <v>1876597735.6120713</v>
      </c>
    </row>
    <row r="206" spans="3:11" x14ac:dyDescent="0.25">
      <c r="C206" s="13" t="s">
        <v>159</v>
      </c>
      <c r="D206" s="213">
        <f>SUM(D203:D205)</f>
        <v>10804663887</v>
      </c>
      <c r="E206" s="213">
        <f t="shared" ref="E206:F206" si="150">SUM(E203:E205)</f>
        <v>17699898017</v>
      </c>
      <c r="F206" s="213">
        <f t="shared" si="150"/>
        <v>16059031429</v>
      </c>
      <c r="G206" s="213">
        <f t="shared" ref="G206" si="151">SUM(G203:G205)</f>
        <v>18660361914.979435</v>
      </c>
      <c r="H206" s="213">
        <f t="shared" ref="H206" si="152">SUM(H203:H205)</f>
        <v>19942021198.906128</v>
      </c>
      <c r="I206" s="213">
        <f t="shared" ref="I206" si="153">SUM(I203:I205)</f>
        <v>21283786706.603474</v>
      </c>
      <c r="J206" s="213">
        <f t="shared" ref="J206" si="154">SUM(J203:J205)</f>
        <v>22543854629.920639</v>
      </c>
      <c r="K206" s="213">
        <f t="shared" ref="K206" si="155">SUM(K203:K205)</f>
        <v>23850806037.635349</v>
      </c>
    </row>
    <row r="207" spans="3:11" x14ac:dyDescent="0.25">
      <c r="C207" s="13"/>
      <c r="E207" s="28"/>
      <c r="F207" s="28"/>
      <c r="G207" s="7"/>
      <c r="H207" s="7"/>
      <c r="I207" s="7"/>
      <c r="J207" s="7"/>
      <c r="K207" s="7"/>
    </row>
    <row r="208" spans="3:11" x14ac:dyDescent="0.25">
      <c r="C208" s="13" t="s">
        <v>163</v>
      </c>
      <c r="E208" s="28"/>
      <c r="F208" s="28"/>
      <c r="G208" s="7"/>
      <c r="H208" s="7"/>
      <c r="I208" s="7"/>
      <c r="J208" s="7"/>
      <c r="K208" s="7"/>
    </row>
    <row r="209" spans="3:11" x14ac:dyDescent="0.25">
      <c r="C209" s="17" t="s">
        <v>209</v>
      </c>
      <c r="D209" s="19">
        <f>D84</f>
        <v>225516257</v>
      </c>
      <c r="E209" s="19">
        <f>E84</f>
        <v>325910581</v>
      </c>
      <c r="F209" s="19">
        <f>F84</f>
        <v>241136369</v>
      </c>
      <c r="G209" s="27">
        <f>$F209/$F$16*G$16</f>
        <v>258090876.09466594</v>
      </c>
      <c r="H209" s="27">
        <f t="shared" ref="H209:K209" si="156">$F209/$F$16*H$16</f>
        <v>275817465.15819144</v>
      </c>
      <c r="I209" s="27">
        <f t="shared" si="156"/>
        <v>294375381.50370592</v>
      </c>
      <c r="J209" s="27">
        <f t="shared" si="156"/>
        <v>311803341.14079386</v>
      </c>
      <c r="K209" s="27">
        <f t="shared" si="156"/>
        <v>329879744.7693575</v>
      </c>
    </row>
    <row r="210" spans="3:11" x14ac:dyDescent="0.25">
      <c r="C210" s="17" t="s">
        <v>262</v>
      </c>
      <c r="D210" s="19">
        <f>D88</f>
        <v>2161616663</v>
      </c>
      <c r="E210" s="19">
        <f>E88</f>
        <v>3430377678</v>
      </c>
      <c r="F210" s="19">
        <f>F88</f>
        <v>2792638925</v>
      </c>
      <c r="G210" s="27">
        <f>G222/365*-G17</f>
        <v>3528639973.9956722</v>
      </c>
      <c r="H210" s="27">
        <f>H222/365*-H17</f>
        <v>3770999377.4687634</v>
      </c>
      <c r="I210" s="27">
        <f>I222/365*-I17</f>
        <v>4024724756.8457193</v>
      </c>
      <c r="J210" s="27">
        <f>J222/365*-J17</f>
        <v>4263001273.904985</v>
      </c>
      <c r="K210" s="27">
        <f>K222/365*-K17</f>
        <v>4510143371.2739525</v>
      </c>
    </row>
    <row r="211" spans="3:11" x14ac:dyDescent="0.25">
      <c r="C211" s="17" t="s">
        <v>274</v>
      </c>
      <c r="D211" s="19">
        <f t="shared" ref="D211:F212" si="157">D90</f>
        <v>974651595</v>
      </c>
      <c r="E211" s="19">
        <f t="shared" si="157"/>
        <v>1573371698</v>
      </c>
      <c r="F211" s="19">
        <f t="shared" si="157"/>
        <v>1336918898</v>
      </c>
      <c r="G211" s="27">
        <f>$F211/$F$16*G$16</f>
        <v>1430918824.4114904</v>
      </c>
      <c r="H211" s="27">
        <f t="shared" ref="H211:K212" si="158">$F211/$F$16*H$16</f>
        <v>1529199361.7455637</v>
      </c>
      <c r="I211" s="27">
        <f t="shared" si="158"/>
        <v>1632088980.4816797</v>
      </c>
      <c r="J211" s="27">
        <f t="shared" si="158"/>
        <v>1728713843.3716242</v>
      </c>
      <c r="K211" s="27">
        <f t="shared" si="158"/>
        <v>1828933838.0539799</v>
      </c>
    </row>
    <row r="212" spans="3:11" x14ac:dyDescent="0.25">
      <c r="C212" s="17" t="s">
        <v>275</v>
      </c>
      <c r="D212" s="19">
        <f t="shared" si="157"/>
        <v>178656287</v>
      </c>
      <c r="E212" s="19">
        <f t="shared" si="157"/>
        <v>310878862</v>
      </c>
      <c r="F212" s="19">
        <f t="shared" si="157"/>
        <v>235085306</v>
      </c>
      <c r="G212" s="27">
        <f>$F212/$F$16*G$16</f>
        <v>251614357.61074531</v>
      </c>
      <c r="H212" s="27">
        <f t="shared" si="158"/>
        <v>268896116.60718745</v>
      </c>
      <c r="I212" s="27">
        <f t="shared" si="158"/>
        <v>286988341.603773</v>
      </c>
      <c r="J212" s="27">
        <f t="shared" si="158"/>
        <v>303978964.96445096</v>
      </c>
      <c r="K212" s="27">
        <f t="shared" si="158"/>
        <v>321601760.29815859</v>
      </c>
    </row>
    <row r="213" spans="3:11" x14ac:dyDescent="0.25">
      <c r="C213" s="13" t="s">
        <v>164</v>
      </c>
      <c r="D213" s="216">
        <f>SUM(D209:D212)</f>
        <v>3540440802</v>
      </c>
      <c r="E213" s="216">
        <f t="shared" ref="E213:F213" si="159">SUM(E209:E212)</f>
        <v>5640538819</v>
      </c>
      <c r="F213" s="216">
        <f t="shared" si="159"/>
        <v>4605779498</v>
      </c>
      <c r="G213" s="216">
        <f t="shared" ref="G213" si="160">SUM(G209:G212)</f>
        <v>5469264032.1125746</v>
      </c>
      <c r="H213" s="216">
        <f t="shared" ref="H213" si="161">SUM(H209:H212)</f>
        <v>5844912320.9797058</v>
      </c>
      <c r="I213" s="216">
        <f t="shared" ref="I213" si="162">SUM(I209:I212)</f>
        <v>6238177460.4348783</v>
      </c>
      <c r="J213" s="216">
        <f t="shared" ref="J213" si="163">SUM(J209:J212)</f>
        <v>6607497423.3818541</v>
      </c>
      <c r="K213" s="216">
        <f t="shared" ref="K213" si="164">SUM(K209:K212)</f>
        <v>6990558714.3954487</v>
      </c>
    </row>
    <row r="214" spans="3:11" x14ac:dyDescent="0.25">
      <c r="E214" s="28"/>
      <c r="F214" s="28"/>
      <c r="G214" s="7"/>
      <c r="H214" s="7"/>
      <c r="I214" s="7"/>
      <c r="J214" s="7"/>
      <c r="K214" s="7"/>
    </row>
    <row r="215" spans="3:11" x14ac:dyDescent="0.25">
      <c r="C215" s="6" t="s">
        <v>160</v>
      </c>
      <c r="D215" s="19">
        <f>D206-D213</f>
        <v>7264223085</v>
      </c>
      <c r="E215" s="19">
        <f t="shared" ref="E215:F215" si="165">E206-E213</f>
        <v>12059359198</v>
      </c>
      <c r="F215" s="19">
        <f t="shared" si="165"/>
        <v>11453251931</v>
      </c>
      <c r="G215" s="19">
        <f t="shared" ref="G215:K215" si="166">G206-G213</f>
        <v>13191097882.866859</v>
      </c>
      <c r="H215" s="19">
        <f t="shared" si="166"/>
        <v>14097108877.926422</v>
      </c>
      <c r="I215" s="19">
        <f t="shared" si="166"/>
        <v>15045609246.168594</v>
      </c>
      <c r="J215" s="19">
        <f t="shared" si="166"/>
        <v>15936357206.538784</v>
      </c>
      <c r="K215" s="19">
        <f t="shared" si="166"/>
        <v>16860247323.239901</v>
      </c>
    </row>
    <row r="216" spans="3:11" x14ac:dyDescent="0.25">
      <c r="C216" s="6" t="s">
        <v>161</v>
      </c>
      <c r="D216" s="22">
        <f t="shared" ref="D216:K216" si="167">D215/D16</f>
        <v>0.4113715994812287</v>
      </c>
      <c r="E216" s="22">
        <f t="shared" si="167"/>
        <v>0.49649717290614026</v>
      </c>
      <c r="F216" s="22">
        <f t="shared" si="167"/>
        <v>0.43020466637016158</v>
      </c>
      <c r="G216" s="22">
        <f t="shared" si="167"/>
        <v>0.46293211617705554</v>
      </c>
      <c r="H216" s="22">
        <f t="shared" si="167"/>
        <v>0.4629321161770556</v>
      </c>
      <c r="I216" s="22">
        <f t="shared" si="167"/>
        <v>0.46293211617705554</v>
      </c>
      <c r="J216" s="22">
        <f t="shared" si="167"/>
        <v>0.46293211617705549</v>
      </c>
      <c r="K216" s="22">
        <f t="shared" si="167"/>
        <v>0.46293211617705565</v>
      </c>
    </row>
    <row r="217" spans="3:11" x14ac:dyDescent="0.25">
      <c r="C217" s="6" t="s">
        <v>162</v>
      </c>
      <c r="D217" s="19"/>
      <c r="E217" s="185">
        <f>D215-E215</f>
        <v>-4795136113</v>
      </c>
      <c r="F217" s="185">
        <f t="shared" ref="F217:K217" si="168">E215-F215</f>
        <v>606107267</v>
      </c>
      <c r="G217" s="185">
        <f t="shared" si="168"/>
        <v>-1737845951.8668594</v>
      </c>
      <c r="H217" s="185">
        <f t="shared" si="168"/>
        <v>-906010995.05956268</v>
      </c>
      <c r="I217" s="185">
        <f t="shared" si="168"/>
        <v>-948500368.24217224</v>
      </c>
      <c r="J217" s="185">
        <f t="shared" si="168"/>
        <v>-890747960.37018967</v>
      </c>
      <c r="K217" s="185">
        <f t="shared" si="168"/>
        <v>-923890116.70111656</v>
      </c>
    </row>
    <row r="218" spans="3:11" x14ac:dyDescent="0.25">
      <c r="D218" s="19"/>
      <c r="E218" s="185"/>
      <c r="F218" s="185"/>
      <c r="G218" s="185"/>
      <c r="H218" s="185"/>
      <c r="I218" s="185"/>
      <c r="J218" s="185"/>
      <c r="K218" s="185"/>
    </row>
    <row r="219" spans="3:11" x14ac:dyDescent="0.25">
      <c r="C219" s="13" t="s">
        <v>182</v>
      </c>
      <c r="G219" s="241"/>
      <c r="H219" s="241"/>
      <c r="I219" s="241"/>
      <c r="J219" s="241"/>
      <c r="K219" s="241"/>
    </row>
    <row r="220" spans="3:11" x14ac:dyDescent="0.25">
      <c r="C220" s="17" t="s">
        <v>183</v>
      </c>
      <c r="D220" s="245">
        <f>D203/-D17*365</f>
        <v>167.35341613964141</v>
      </c>
      <c r="E220" s="245">
        <f>E203/-E17*365</f>
        <v>197.45154467693459</v>
      </c>
      <c r="F220" s="245">
        <f>F203/-F17*365</f>
        <v>159.23169999114796</v>
      </c>
      <c r="G220" s="266">
        <f>AVERAGE(D220:F220)</f>
        <v>174.67888693590797</v>
      </c>
      <c r="H220" s="266">
        <f>G220</f>
        <v>174.67888693590797</v>
      </c>
      <c r="I220" s="266">
        <f t="shared" ref="I220:K220" si="169">H220</f>
        <v>174.67888693590797</v>
      </c>
      <c r="J220" s="266">
        <f t="shared" si="169"/>
        <v>174.67888693590797</v>
      </c>
      <c r="K220" s="266">
        <f t="shared" si="169"/>
        <v>174.67888693590797</v>
      </c>
    </row>
    <row r="221" spans="3:11" x14ac:dyDescent="0.25">
      <c r="C221" s="17" t="s">
        <v>184</v>
      </c>
      <c r="D221" s="245">
        <f>D204/D16*365</f>
        <v>65.369949734759018</v>
      </c>
      <c r="E221" s="245">
        <f>E204/E16*365</f>
        <v>75.033674559574521</v>
      </c>
      <c r="F221" s="245">
        <f>F204/F16*365</f>
        <v>62.169594682240749</v>
      </c>
      <c r="G221" s="266">
        <f t="shared" ref="G221:G222" si="170">AVERAGE(D221:F221)</f>
        <v>67.524406325524765</v>
      </c>
      <c r="H221" s="266">
        <f t="shared" ref="H221:K221" si="171">G221</f>
        <v>67.524406325524765</v>
      </c>
      <c r="I221" s="266">
        <f t="shared" si="171"/>
        <v>67.524406325524765</v>
      </c>
      <c r="J221" s="266">
        <f t="shared" si="171"/>
        <v>67.524406325524765</v>
      </c>
      <c r="K221" s="266">
        <f t="shared" si="171"/>
        <v>67.524406325524765</v>
      </c>
    </row>
    <row r="222" spans="3:11" x14ac:dyDescent="0.25">
      <c r="C222" s="17" t="s">
        <v>185</v>
      </c>
      <c r="D222" s="245">
        <f>D210/-D17*365</f>
        <v>52.220430980054658</v>
      </c>
      <c r="E222" s="245">
        <f>E210/-E17*365</f>
        <v>59.100607345828266</v>
      </c>
      <c r="F222" s="245">
        <f>F210/-F17*365</f>
        <v>43.79897552603493</v>
      </c>
      <c r="G222" s="266">
        <f t="shared" si="170"/>
        <v>51.706671283972618</v>
      </c>
      <c r="H222" s="266">
        <f t="shared" ref="H222:K222" si="172">G222</f>
        <v>51.706671283972618</v>
      </c>
      <c r="I222" s="266">
        <f t="shared" si="172"/>
        <v>51.706671283972618</v>
      </c>
      <c r="J222" s="266">
        <f t="shared" si="172"/>
        <v>51.706671283972618</v>
      </c>
      <c r="K222" s="266">
        <f t="shared" si="172"/>
        <v>51.706671283972618</v>
      </c>
    </row>
    <row r="223" spans="3:11" x14ac:dyDescent="0.25">
      <c r="D223" s="242"/>
      <c r="E223" s="242"/>
      <c r="F223" s="242"/>
      <c r="G223" s="241"/>
      <c r="H223" s="241"/>
      <c r="I223" s="241"/>
      <c r="J223" s="241"/>
      <c r="K223" s="241"/>
    </row>
    <row r="224" spans="3:11" x14ac:dyDescent="0.25">
      <c r="C224" s="13" t="s">
        <v>165</v>
      </c>
    </row>
    <row r="225" spans="3:11" x14ac:dyDescent="0.25">
      <c r="C225" s="48" t="s">
        <v>42</v>
      </c>
      <c r="D225" s="49">
        <f t="shared" ref="D225:K225" si="173">D$13</f>
        <v>2023</v>
      </c>
      <c r="E225" s="49">
        <f t="shared" si="173"/>
        <v>2024</v>
      </c>
      <c r="F225" s="49">
        <f t="shared" si="173"/>
        <v>2025</v>
      </c>
      <c r="G225" s="50">
        <f t="shared" si="173"/>
        <v>2026</v>
      </c>
      <c r="H225" s="50">
        <f t="shared" si="173"/>
        <v>2027</v>
      </c>
      <c r="I225" s="50">
        <f t="shared" si="173"/>
        <v>2028</v>
      </c>
      <c r="J225" s="50">
        <f t="shared" si="173"/>
        <v>2029</v>
      </c>
      <c r="K225" s="50">
        <f t="shared" si="173"/>
        <v>2030</v>
      </c>
    </row>
    <row r="226" spans="3:11" x14ac:dyDescent="0.25">
      <c r="C226" s="43" t="s">
        <v>43</v>
      </c>
      <c r="D226" s="250">
        <f t="shared" ref="D226:K226" si="174">D$14</f>
        <v>45291</v>
      </c>
      <c r="E226" s="232">
        <f t="shared" si="174"/>
        <v>45657</v>
      </c>
      <c r="F226" s="232">
        <f t="shared" si="174"/>
        <v>46022</v>
      </c>
      <c r="G226" s="232">
        <f t="shared" si="174"/>
        <v>46387</v>
      </c>
      <c r="H226" s="232">
        <f t="shared" si="174"/>
        <v>46752</v>
      </c>
      <c r="I226" s="232">
        <f t="shared" si="174"/>
        <v>47118</v>
      </c>
      <c r="J226" s="232">
        <f t="shared" si="174"/>
        <v>47483</v>
      </c>
      <c r="K226" s="232">
        <f t="shared" si="174"/>
        <v>47848</v>
      </c>
    </row>
    <row r="228" spans="3:11" x14ac:dyDescent="0.25">
      <c r="C228" s="13" t="s">
        <v>203</v>
      </c>
      <c r="D228" s="19"/>
      <c r="E228" s="185"/>
      <c r="F228" s="185"/>
      <c r="G228" s="185"/>
      <c r="H228" s="185"/>
      <c r="I228" s="185"/>
      <c r="J228" s="185"/>
      <c r="K228" s="185"/>
    </row>
    <row r="229" spans="3:11" x14ac:dyDescent="0.25">
      <c r="C229" s="29" t="s">
        <v>32</v>
      </c>
      <c r="D229" s="19"/>
      <c r="E229" s="185">
        <f>D230</f>
        <v>4676993990</v>
      </c>
      <c r="F229" s="185">
        <f t="shared" ref="F229:K229" si="175">E230</f>
        <v>7427451196</v>
      </c>
      <c r="G229" s="185">
        <f t="shared" si="175"/>
        <v>6843077041</v>
      </c>
      <c r="H229" s="185">
        <f t="shared" si="175"/>
        <v>6843077041</v>
      </c>
      <c r="I229" s="185">
        <f t="shared" si="175"/>
        <v>6843077041</v>
      </c>
      <c r="J229" s="185">
        <f t="shared" si="175"/>
        <v>6843077041</v>
      </c>
      <c r="K229" s="185">
        <f t="shared" si="175"/>
        <v>6843077041</v>
      </c>
    </row>
    <row r="230" spans="3:11" x14ac:dyDescent="0.25">
      <c r="C230" s="29" t="s">
        <v>35</v>
      </c>
      <c r="D230" s="19">
        <f t="shared" ref="D230:K230" si="176">D85+D87+D95</f>
        <v>4676993990</v>
      </c>
      <c r="E230" s="19">
        <f t="shared" si="176"/>
        <v>7427451196</v>
      </c>
      <c r="F230" s="19">
        <f t="shared" si="176"/>
        <v>6843077041</v>
      </c>
      <c r="G230" s="19">
        <f t="shared" si="176"/>
        <v>6843077041</v>
      </c>
      <c r="H230" s="19">
        <f t="shared" si="176"/>
        <v>6843077041</v>
      </c>
      <c r="I230" s="19">
        <f t="shared" si="176"/>
        <v>6843077041</v>
      </c>
      <c r="J230" s="19">
        <f t="shared" si="176"/>
        <v>6843077041</v>
      </c>
      <c r="K230" s="19">
        <f t="shared" si="176"/>
        <v>6843077041</v>
      </c>
    </row>
    <row r="231" spans="3:11" x14ac:dyDescent="0.25">
      <c r="C231" s="29" t="s">
        <v>166</v>
      </c>
      <c r="D231" s="19"/>
      <c r="E231" s="185">
        <f>AVERAGE(E229,E230)</f>
        <v>6052222593</v>
      </c>
      <c r="F231" s="185">
        <f t="shared" ref="F231:K231" si="177">AVERAGE(F229,F230)</f>
        <v>7135264118.5</v>
      </c>
      <c r="G231" s="185">
        <f t="shared" si="177"/>
        <v>6843077041</v>
      </c>
      <c r="H231" s="185">
        <f t="shared" si="177"/>
        <v>6843077041</v>
      </c>
      <c r="I231" s="185">
        <f t="shared" si="177"/>
        <v>6843077041</v>
      </c>
      <c r="J231" s="185">
        <f t="shared" si="177"/>
        <v>6843077041</v>
      </c>
      <c r="K231" s="185">
        <f t="shared" si="177"/>
        <v>6843077041</v>
      </c>
    </row>
    <row r="232" spans="3:11" x14ac:dyDescent="0.25">
      <c r="C232" s="29" t="s">
        <v>167</v>
      </c>
      <c r="D232" s="22"/>
      <c r="E232" s="1">
        <f>E239/E231</f>
        <v>-9.1297422477336174E-2</v>
      </c>
      <c r="F232" s="1">
        <f t="shared" ref="F232" si="178">F239/F231</f>
        <v>-7.5053536646458474E-2</v>
      </c>
      <c r="G232" s="212">
        <f>AVERAGE(E232:F232)</f>
        <v>-8.3175479561897331E-2</v>
      </c>
      <c r="H232" s="212">
        <f>G232</f>
        <v>-8.3175479561897331E-2</v>
      </c>
      <c r="I232" s="212">
        <f t="shared" ref="I232:K232" si="179">H232</f>
        <v>-8.3175479561897331E-2</v>
      </c>
      <c r="J232" s="212">
        <f t="shared" si="179"/>
        <v>-8.3175479561897331E-2</v>
      </c>
      <c r="K232" s="212">
        <f t="shared" si="179"/>
        <v>-8.3175479561897331E-2</v>
      </c>
    </row>
    <row r="233" spans="3:11" x14ac:dyDescent="0.25">
      <c r="C233" s="17"/>
      <c r="D233" s="256"/>
      <c r="E233" s="208"/>
      <c r="F233" s="208"/>
      <c r="G233" s="209"/>
      <c r="H233" s="209"/>
      <c r="I233" s="209"/>
      <c r="J233" s="209"/>
      <c r="K233" s="209"/>
    </row>
    <row r="234" spans="3:11" x14ac:dyDescent="0.25">
      <c r="C234" s="13" t="s">
        <v>212</v>
      </c>
      <c r="D234" s="7"/>
    </row>
    <row r="235" spans="3:11" x14ac:dyDescent="0.25">
      <c r="C235" s="17" t="s">
        <v>217</v>
      </c>
      <c r="D235" s="185">
        <f t="shared" ref="D235:K235" si="180">D68+D67+D66+D65</f>
        <v>4555796896</v>
      </c>
      <c r="E235" s="185">
        <f t="shared" si="180"/>
        <v>6275575836</v>
      </c>
      <c r="F235" s="185">
        <f t="shared" si="180"/>
        <v>6833990850</v>
      </c>
      <c r="G235" s="185">
        <f t="shared" ca="1" si="180"/>
        <v>5972715585.0325241</v>
      </c>
      <c r="H235" s="185">
        <f t="shared" ca="1" si="180"/>
        <v>6004857897.1307278</v>
      </c>
      <c r="I235" s="185">
        <f t="shared" ca="1" si="180"/>
        <v>6064353916.9902649</v>
      </c>
      <c r="J235" s="185">
        <f t="shared" ca="1" si="180"/>
        <v>6248072613.4837112</v>
      </c>
      <c r="K235" s="185">
        <f t="shared" ca="1" si="180"/>
        <v>6468442543.8733749</v>
      </c>
    </row>
    <row r="236" spans="3:11" x14ac:dyDescent="0.25">
      <c r="C236" s="17" t="s">
        <v>213</v>
      </c>
      <c r="D236" s="185"/>
      <c r="E236" s="185">
        <f>AVERAGE(D235,E235)</f>
        <v>5415686366</v>
      </c>
      <c r="F236" s="185">
        <f t="shared" ref="F236:K236" si="181">AVERAGE(E235,F235)</f>
        <v>6554783343</v>
      </c>
      <c r="G236" s="185">
        <f t="shared" ca="1" si="181"/>
        <v>6403353217.5162621</v>
      </c>
      <c r="H236" s="185">
        <f t="shared" ca="1" si="181"/>
        <v>5988786741.0816259</v>
      </c>
      <c r="I236" s="185">
        <f t="shared" ca="1" si="181"/>
        <v>6034605907.0604963</v>
      </c>
      <c r="J236" s="185">
        <f t="shared" ca="1" si="181"/>
        <v>6156213265.2369881</v>
      </c>
      <c r="K236" s="185">
        <f t="shared" ca="1" si="181"/>
        <v>6358257578.6785431</v>
      </c>
    </row>
    <row r="237" spans="3:11" x14ac:dyDescent="0.25">
      <c r="C237" s="17" t="s">
        <v>214</v>
      </c>
      <c r="D237" s="185"/>
      <c r="E237" s="1">
        <f>E240/E236</f>
        <v>3.9917284604438628E-2</v>
      </c>
      <c r="F237" s="1">
        <f t="shared" ref="F237" si="182">F240/F236</f>
        <v>3.8646037671179821E-2</v>
      </c>
      <c r="G237" s="212">
        <v>0.04</v>
      </c>
      <c r="H237" s="212">
        <f>G237</f>
        <v>0.04</v>
      </c>
      <c r="I237" s="212">
        <f t="shared" ref="I237:K237" si="183">H237</f>
        <v>0.04</v>
      </c>
      <c r="J237" s="212">
        <f t="shared" si="183"/>
        <v>0.04</v>
      </c>
      <c r="K237" s="212">
        <f t="shared" si="183"/>
        <v>0.04</v>
      </c>
    </row>
    <row r="238" spans="3:11" x14ac:dyDescent="0.25">
      <c r="C238" s="17"/>
      <c r="D238" s="256"/>
      <c r="E238" s="208"/>
      <c r="F238" s="208"/>
      <c r="G238" s="209"/>
      <c r="H238" s="209"/>
      <c r="I238" s="209"/>
      <c r="J238" s="209"/>
      <c r="K238" s="209"/>
    </row>
    <row r="239" spans="3:11" x14ac:dyDescent="0.25">
      <c r="C239" s="6" t="s">
        <v>152</v>
      </c>
      <c r="D239" s="19">
        <f>D33</f>
        <v>-459366283</v>
      </c>
      <c r="E239" s="19">
        <f>E33</f>
        <v>-552552323</v>
      </c>
      <c r="F239" s="19">
        <f>F33</f>
        <v>-535526807</v>
      </c>
      <c r="G239" s="275">
        <f xml:space="preserve"> G232*G229-G281</f>
        <v>-627027513.57611728</v>
      </c>
      <c r="H239" s="275">
        <f t="shared" ref="H239:K239" si="184" xml:space="preserve"> H232*H229-H281</f>
        <v>-631000944.25252569</v>
      </c>
      <c r="I239" s="275">
        <f t="shared" si="184"/>
        <v>-635160717.67725146</v>
      </c>
      <c r="J239" s="275">
        <f t="shared" si="184"/>
        <v>-639067210.30259812</v>
      </c>
      <c r="K239" s="275">
        <f t="shared" si="184"/>
        <v>-643119052.22432828</v>
      </c>
    </row>
    <row r="240" spans="3:11" x14ac:dyDescent="0.25">
      <c r="C240" s="6" t="s">
        <v>215</v>
      </c>
      <c r="D240" s="185">
        <f>D32</f>
        <v>101662197</v>
      </c>
      <c r="E240" s="185">
        <f>E32</f>
        <v>216179494</v>
      </c>
      <c r="F240" s="185">
        <f>F32</f>
        <v>253316404</v>
      </c>
      <c r="G240" s="185">
        <f ca="1">G237*G236</f>
        <v>256134128.70065048</v>
      </c>
      <c r="H240" s="185">
        <f t="shared" ref="H240:K240" ca="1" si="185">H237*H236</f>
        <v>239551469.64326504</v>
      </c>
      <c r="I240" s="185">
        <f t="shared" ca="1" si="185"/>
        <v>241384236.28241986</v>
      </c>
      <c r="J240" s="185">
        <f t="shared" ca="1" si="185"/>
        <v>246248530.60947952</v>
      </c>
      <c r="K240" s="185">
        <f t="shared" ca="1" si="185"/>
        <v>254330303.14714172</v>
      </c>
    </row>
    <row r="241" spans="3:11" x14ac:dyDescent="0.25">
      <c r="C241" s="6" t="s">
        <v>216</v>
      </c>
      <c r="D241" s="185">
        <f>SUM(D239:D240)</f>
        <v>-357704086</v>
      </c>
      <c r="E241" s="185">
        <f t="shared" ref="E241:F241" si="186">SUM(E239:E240)</f>
        <v>-336372829</v>
      </c>
      <c r="F241" s="185">
        <f t="shared" si="186"/>
        <v>-282210403</v>
      </c>
      <c r="G241" s="185">
        <f t="shared" ref="G241" ca="1" si="187">SUM(G239:G240)</f>
        <v>-370893384.87546682</v>
      </c>
      <c r="H241" s="185">
        <f t="shared" ref="H241" ca="1" si="188">SUM(H239:H240)</f>
        <v>-391449474.60926068</v>
      </c>
      <c r="I241" s="185">
        <f t="shared" ref="I241" ca="1" si="189">SUM(I239:I240)</f>
        <v>-393776481.3948316</v>
      </c>
      <c r="J241" s="185">
        <f t="shared" ref="J241" ca="1" si="190">SUM(J239:J240)</f>
        <v>-392818679.69311857</v>
      </c>
      <c r="K241" s="185">
        <f t="shared" ref="K241" ca="1" si="191">SUM(K239:K240)</f>
        <v>-388788749.07718658</v>
      </c>
    </row>
    <row r="243" spans="3:11" x14ac:dyDescent="0.25">
      <c r="C243" s="13" t="s">
        <v>168</v>
      </c>
    </row>
    <row r="244" spans="3:11" x14ac:dyDescent="0.25">
      <c r="C244" s="48" t="s">
        <v>42</v>
      </c>
      <c r="D244" s="49">
        <f t="shared" ref="D244:K244" si="192">D$13</f>
        <v>2023</v>
      </c>
      <c r="E244" s="49">
        <f t="shared" si="192"/>
        <v>2024</v>
      </c>
      <c r="F244" s="49">
        <f t="shared" si="192"/>
        <v>2025</v>
      </c>
      <c r="G244" s="50">
        <f t="shared" si="192"/>
        <v>2026</v>
      </c>
      <c r="H244" s="50">
        <f t="shared" si="192"/>
        <v>2027</v>
      </c>
      <c r="I244" s="50">
        <f t="shared" si="192"/>
        <v>2028</v>
      </c>
      <c r="J244" s="50">
        <f t="shared" si="192"/>
        <v>2029</v>
      </c>
      <c r="K244" s="50">
        <f t="shared" si="192"/>
        <v>2030</v>
      </c>
    </row>
    <row r="245" spans="3:11" x14ac:dyDescent="0.25">
      <c r="C245" s="43" t="s">
        <v>43</v>
      </c>
      <c r="D245" s="250">
        <f t="shared" ref="D245:K245" si="193">D$14</f>
        <v>45291</v>
      </c>
      <c r="E245" s="232">
        <f t="shared" si="193"/>
        <v>45657</v>
      </c>
      <c r="F245" s="232">
        <f t="shared" si="193"/>
        <v>46022</v>
      </c>
      <c r="G245" s="232">
        <f t="shared" si="193"/>
        <v>46387</v>
      </c>
      <c r="H245" s="232">
        <f t="shared" si="193"/>
        <v>46752</v>
      </c>
      <c r="I245" s="232">
        <f t="shared" si="193"/>
        <v>47118</v>
      </c>
      <c r="J245" s="232">
        <f t="shared" si="193"/>
        <v>47483</v>
      </c>
      <c r="K245" s="232">
        <f t="shared" si="193"/>
        <v>47848</v>
      </c>
    </row>
    <row r="247" spans="3:11" x14ac:dyDescent="0.25">
      <c r="C247" s="13" t="s">
        <v>169</v>
      </c>
    </row>
    <row r="248" spans="3:11" x14ac:dyDescent="0.25">
      <c r="C248" s="17" t="s">
        <v>32</v>
      </c>
      <c r="D248" s="19"/>
      <c r="E248" s="185">
        <f t="shared" ref="E248:K248" si="194" xml:space="preserve"> D251+D106</f>
        <v>2445044702</v>
      </c>
      <c r="F248" s="185">
        <f t="shared" si="194"/>
        <v>3908400925</v>
      </c>
      <c r="G248" s="185">
        <f t="shared" si="194"/>
        <v>4671359841</v>
      </c>
      <c r="H248" s="185">
        <f t="shared" ca="1" si="194"/>
        <v>5398247563.896143</v>
      </c>
      <c r="I248" s="185">
        <f t="shared" ca="1" si="194"/>
        <v>6176564427.1307945</v>
      </c>
      <c r="J248" s="185">
        <f t="shared" ca="1" si="194"/>
        <v>7014591400.9132538</v>
      </c>
      <c r="K248" s="185">
        <f t="shared" ca="1" si="194"/>
        <v>7909653988.3209648</v>
      </c>
    </row>
    <row r="249" spans="3:11" x14ac:dyDescent="0.25">
      <c r="C249" s="17" t="s">
        <v>221</v>
      </c>
      <c r="D249" s="274">
        <f t="shared" ref="D249:K249" si="195">D39</f>
        <v>1740203598</v>
      </c>
      <c r="E249" s="274">
        <f t="shared" si="195"/>
        <v>2192283305</v>
      </c>
      <c r="F249" s="274">
        <f t="shared" si="195"/>
        <v>2189343558</v>
      </c>
      <c r="G249" s="19">
        <f t="shared" ca="1" si="195"/>
        <v>2047404590.6996899</v>
      </c>
      <c r="H249" s="19">
        <f t="shared" ca="1" si="195"/>
        <v>2192263631.1100483</v>
      </c>
      <c r="I249" s="19">
        <f t="shared" ca="1" si="195"/>
        <v>2360447451.7965212</v>
      </c>
      <c r="J249" s="19">
        <f t="shared" ca="1" si="195"/>
        <v>2521098090.8036742</v>
      </c>
      <c r="K249" s="19">
        <f t="shared" ca="1" si="195"/>
        <v>2690341449.7015696</v>
      </c>
    </row>
    <row r="250" spans="3:11" x14ac:dyDescent="0.25">
      <c r="C250" s="17" t="s">
        <v>170</v>
      </c>
      <c r="D250" s="240">
        <v>613045927</v>
      </c>
      <c r="E250" s="188">
        <v>1102870691</v>
      </c>
      <c r="F250" s="240">
        <v>1412063405</v>
      </c>
      <c r="G250" s="185">
        <f ca="1">G259*G38</f>
        <v>1320516867.8035479</v>
      </c>
      <c r="H250" s="185">
        <f ca="1">H259*H38</f>
        <v>1413946767.8753955</v>
      </c>
      <c r="I250" s="185">
        <f ca="1">I259*I38</f>
        <v>1522420478.0140626</v>
      </c>
      <c r="J250" s="185">
        <f ca="1">J259*J38</f>
        <v>1626035503.3959615</v>
      </c>
      <c r="K250" s="185">
        <f ca="1">K259*K38</f>
        <v>1735192585.1000836</v>
      </c>
    </row>
    <row r="251" spans="3:11" x14ac:dyDescent="0.25">
      <c r="C251" s="17" t="s">
        <v>171</v>
      </c>
      <c r="D251" s="19">
        <f>D105</f>
        <v>704841104</v>
      </c>
      <c r="E251" s="19">
        <f>E105</f>
        <v>1716117620</v>
      </c>
      <c r="F251" s="19">
        <f>F105</f>
        <v>2482016283</v>
      </c>
      <c r="G251" s="185">
        <f ca="1">G248+G249-G250</f>
        <v>5398247563.896142</v>
      </c>
      <c r="H251" s="185">
        <f ca="1">H248+H249-H250</f>
        <v>6176564427.1307955</v>
      </c>
      <c r="I251" s="185">
        <f ca="1">I248+I249-I250</f>
        <v>7014591400.9132528</v>
      </c>
      <c r="J251" s="185">
        <f ca="1">J248+J249-J250</f>
        <v>7909653988.3209667</v>
      </c>
      <c r="K251" s="185">
        <f ca="1">K248+K249-K250</f>
        <v>8864802852.9224491</v>
      </c>
    </row>
    <row r="252" spans="3:11" x14ac:dyDescent="0.25">
      <c r="D252" s="19"/>
      <c r="E252" s="185"/>
      <c r="F252" s="185"/>
      <c r="G252" s="185"/>
      <c r="H252" s="185"/>
      <c r="I252" s="185"/>
      <c r="J252" s="185"/>
      <c r="K252" s="185"/>
    </row>
    <row r="253" spans="3:11" x14ac:dyDescent="0.25">
      <c r="C253" s="13" t="s">
        <v>218</v>
      </c>
      <c r="D253" s="185"/>
      <c r="E253" s="185"/>
      <c r="F253" s="185"/>
      <c r="G253" s="185"/>
      <c r="H253" s="185"/>
      <c r="I253" s="185"/>
      <c r="J253" s="185"/>
      <c r="K253" s="185"/>
    </row>
    <row r="254" spans="3:11" x14ac:dyDescent="0.25">
      <c r="C254" s="17" t="s">
        <v>32</v>
      </c>
      <c r="D254" s="185"/>
      <c r="E254" s="185">
        <f>D257</f>
        <v>1361533283</v>
      </c>
      <c r="F254" s="185">
        <f t="shared" ref="F254:G254" si="196">E257</f>
        <v>2134004061</v>
      </c>
      <c r="G254" s="185">
        <f t="shared" si="196"/>
        <v>1966368620</v>
      </c>
      <c r="H254" s="185">
        <f t="shared" ref="H254:K254" ca="1" si="197">G257</f>
        <v>1904854795.334821</v>
      </c>
      <c r="I254" s="185">
        <f t="shared" ca="1" si="197"/>
        <v>1838988712.3747032</v>
      </c>
      <c r="J254" s="185">
        <f t="shared" ca="1" si="197"/>
        <v>1768069583.1802344</v>
      </c>
      <c r="K254" s="185">
        <f t="shared" ca="1" si="197"/>
        <v>1692323740.5530007</v>
      </c>
    </row>
    <row r="255" spans="3:11" x14ac:dyDescent="0.25">
      <c r="C255" s="17" t="s">
        <v>219</v>
      </c>
      <c r="D255" s="185">
        <f>D40</f>
        <v>151778425</v>
      </c>
      <c r="E255" s="185">
        <f>E40</f>
        <v>349398512</v>
      </c>
      <c r="F255" s="185">
        <f>F40</f>
        <v>74056315</v>
      </c>
      <c r="G255" s="185">
        <f ca="1">G261*G38</f>
        <v>69255114.733939946</v>
      </c>
      <c r="H255" s="185">
        <f ca="1">H261*H38</f>
        <v>74155088.832581252</v>
      </c>
      <c r="I255" s="185">
        <f ca="1">I261*I38</f>
        <v>79844042.472200468</v>
      </c>
      <c r="J255" s="185">
        <f ca="1">J261*J38</f>
        <v>85278180.154151723</v>
      </c>
      <c r="K255" s="185">
        <f ca="1">K261*K38</f>
        <v>91002973.529957101</v>
      </c>
    </row>
    <row r="256" spans="3:11" x14ac:dyDescent="0.25">
      <c r="C256" s="17" t="s">
        <v>294</v>
      </c>
      <c r="D256" s="188">
        <v>98466315</v>
      </c>
      <c r="E256" s="188">
        <v>84364104</v>
      </c>
      <c r="F256" s="188">
        <v>139834665</v>
      </c>
      <c r="G256" s="185">
        <f ca="1">G260*G38</f>
        <v>130768939.39911884</v>
      </c>
      <c r="H256" s="185">
        <f ca="1">H260*H38</f>
        <v>140021171.79269913</v>
      </c>
      <c r="I256" s="185">
        <f ca="1">I260*I38</f>
        <v>150763171.66666913</v>
      </c>
      <c r="J256" s="185">
        <f ca="1">J260*J38</f>
        <v>161024022.78138542</v>
      </c>
      <c r="K256" s="185">
        <f ca="1">K260*K38</f>
        <v>171833695.98616159</v>
      </c>
    </row>
    <row r="257" spans="3:11" x14ac:dyDescent="0.25">
      <c r="C257" s="17" t="s">
        <v>171</v>
      </c>
      <c r="D257" s="185">
        <f>D109</f>
        <v>1361533283</v>
      </c>
      <c r="E257" s="185">
        <f>E109</f>
        <v>2134004061</v>
      </c>
      <c r="F257" s="185">
        <f>F109</f>
        <v>1966368620</v>
      </c>
      <c r="G257" s="185">
        <f ca="1">G254+G255-G256</f>
        <v>1904854795.334821</v>
      </c>
      <c r="H257" s="185">
        <f ca="1">H254+H255-H256</f>
        <v>1838988712.3747032</v>
      </c>
      <c r="I257" s="185">
        <f ca="1">I254+I255-I256</f>
        <v>1768069583.1802344</v>
      </c>
      <c r="J257" s="185">
        <f ca="1">J254+J255-J256</f>
        <v>1692323740.5530007</v>
      </c>
      <c r="K257" s="185">
        <f ca="1">K254+K255-K256</f>
        <v>1611493018.096796</v>
      </c>
    </row>
    <row r="258" spans="3:11" x14ac:dyDescent="0.25">
      <c r="D258" s="185"/>
      <c r="E258" s="185"/>
      <c r="F258" s="185"/>
      <c r="G258" s="185"/>
      <c r="H258" s="185"/>
      <c r="I258" s="185"/>
      <c r="J258" s="185"/>
      <c r="K258" s="185"/>
    </row>
    <row r="259" spans="3:11" x14ac:dyDescent="0.25">
      <c r="C259" s="6" t="s">
        <v>201</v>
      </c>
      <c r="D259" s="1">
        <f>D250/D38</f>
        <v>0.3240231247165502</v>
      </c>
      <c r="E259" s="1">
        <f>E250/E38</f>
        <v>0.43391375097522683</v>
      </c>
      <c r="F259" s="1">
        <f>F250/F38</f>
        <v>0.62386828851783716</v>
      </c>
      <c r="G259" s="212">
        <f>F259</f>
        <v>0.62386828851783716</v>
      </c>
      <c r="H259" s="212">
        <f t="shared" ref="H259:K259" si="198">G259</f>
        <v>0.62386828851783716</v>
      </c>
      <c r="I259" s="212">
        <f t="shared" si="198"/>
        <v>0.62386828851783716</v>
      </c>
      <c r="J259" s="212">
        <f t="shared" si="198"/>
        <v>0.62386828851783716</v>
      </c>
      <c r="K259" s="212">
        <f t="shared" si="198"/>
        <v>0.62386828851783716</v>
      </c>
    </row>
    <row r="260" spans="3:11" x14ac:dyDescent="0.25">
      <c r="C260" s="6" t="s">
        <v>220</v>
      </c>
      <c r="D260" s="22">
        <f>D256/D38</f>
        <v>5.2044001371571169E-2</v>
      </c>
      <c r="E260" s="22">
        <f>E256/E38</f>
        <v>3.3192236508807663E-2</v>
      </c>
      <c r="F260" s="22">
        <f>F256/F38</f>
        <v>6.1780804473872124E-2</v>
      </c>
      <c r="G260" s="212">
        <f t="shared" ref="G260:K260" si="199">F260</f>
        <v>6.1780804473872124E-2</v>
      </c>
      <c r="H260" s="212">
        <f t="shared" si="199"/>
        <v>6.1780804473872124E-2</v>
      </c>
      <c r="I260" s="212">
        <f t="shared" si="199"/>
        <v>6.1780804473872124E-2</v>
      </c>
      <c r="J260" s="212">
        <f t="shared" si="199"/>
        <v>6.1780804473872124E-2</v>
      </c>
      <c r="K260" s="212">
        <f t="shared" si="199"/>
        <v>6.1780804473872124E-2</v>
      </c>
    </row>
    <row r="261" spans="3:11" x14ac:dyDescent="0.25">
      <c r="C261" s="6" t="s">
        <v>295</v>
      </c>
      <c r="D261" s="22">
        <f>D255/D38</f>
        <v>8.0221917097993478E-2</v>
      </c>
      <c r="E261" s="22">
        <f>E255/E38</f>
        <v>0.13746744760223462</v>
      </c>
      <c r="F261" s="22">
        <f>F255/F38</f>
        <v>3.2719059448316934E-2</v>
      </c>
      <c r="G261" s="212">
        <f>F261</f>
        <v>3.2719059448316934E-2</v>
      </c>
      <c r="H261" s="212">
        <f>G261</f>
        <v>3.2719059448316934E-2</v>
      </c>
      <c r="I261" s="212">
        <f t="shared" ref="I261:K261" si="200">H261</f>
        <v>3.2719059448316934E-2</v>
      </c>
      <c r="J261" s="212">
        <f t="shared" si="200"/>
        <v>3.2719059448316934E-2</v>
      </c>
      <c r="K261" s="212">
        <f t="shared" si="200"/>
        <v>3.2719059448316934E-2</v>
      </c>
    </row>
    <row r="263" spans="3:11" x14ac:dyDescent="0.25">
      <c r="C263" s="13" t="s">
        <v>222</v>
      </c>
    </row>
    <row r="264" spans="3:11" x14ac:dyDescent="0.25">
      <c r="C264" s="48" t="s">
        <v>42</v>
      </c>
      <c r="D264" s="49">
        <f t="shared" ref="D264:K264" si="201">D$13</f>
        <v>2023</v>
      </c>
      <c r="E264" s="49">
        <f t="shared" si="201"/>
        <v>2024</v>
      </c>
      <c r="F264" s="49">
        <f t="shared" si="201"/>
        <v>2025</v>
      </c>
      <c r="G264" s="50">
        <f t="shared" si="201"/>
        <v>2026</v>
      </c>
      <c r="H264" s="50">
        <f t="shared" si="201"/>
        <v>2027</v>
      </c>
      <c r="I264" s="50">
        <f t="shared" si="201"/>
        <v>2028</v>
      </c>
      <c r="J264" s="50">
        <f t="shared" si="201"/>
        <v>2029</v>
      </c>
      <c r="K264" s="50">
        <f t="shared" si="201"/>
        <v>2030</v>
      </c>
    </row>
    <row r="265" spans="3:11" x14ac:dyDescent="0.25">
      <c r="C265" s="43" t="s">
        <v>43</v>
      </c>
      <c r="D265" s="250">
        <f t="shared" ref="D265:K265" si="202">D$14</f>
        <v>45291</v>
      </c>
      <c r="E265" s="232">
        <f t="shared" si="202"/>
        <v>45657</v>
      </c>
      <c r="F265" s="232">
        <f t="shared" si="202"/>
        <v>46022</v>
      </c>
      <c r="G265" s="232">
        <f t="shared" si="202"/>
        <v>46387</v>
      </c>
      <c r="H265" s="232">
        <f t="shared" si="202"/>
        <v>46752</v>
      </c>
      <c r="I265" s="232">
        <f t="shared" si="202"/>
        <v>47118</v>
      </c>
      <c r="J265" s="232">
        <f t="shared" si="202"/>
        <v>47483</v>
      </c>
      <c r="K265" s="232">
        <f t="shared" si="202"/>
        <v>47848</v>
      </c>
    </row>
    <row r="266" spans="3:11" x14ac:dyDescent="0.25">
      <c r="C266" s="243"/>
      <c r="D266" s="257"/>
      <c r="E266" s="244"/>
      <c r="F266" s="244"/>
      <c r="G266" s="244"/>
      <c r="H266" s="244"/>
      <c r="I266" s="244"/>
      <c r="J266" s="244"/>
      <c r="K266" s="244"/>
    </row>
    <row r="267" spans="3:11" x14ac:dyDescent="0.25">
      <c r="C267" s="6" t="s">
        <v>189</v>
      </c>
      <c r="D267" s="19"/>
      <c r="E267" s="185">
        <f>D270</f>
        <v>455071409</v>
      </c>
      <c r="F267" s="185">
        <f t="shared" ref="F267:G267" si="203">E270</f>
        <v>540749442</v>
      </c>
      <c r="G267" s="185">
        <f t="shared" si="203"/>
        <v>518695424</v>
      </c>
      <c r="H267" s="185">
        <f t="shared" ref="H267:K267" si="204">G270</f>
        <v>576355120.4160037</v>
      </c>
      <c r="I267" s="185">
        <f t="shared" si="204"/>
        <v>637975087.56827021</v>
      </c>
      <c r="J267" s="185">
        <f t="shared" si="204"/>
        <v>703741051.04085398</v>
      </c>
      <c r="K267" s="185">
        <f t="shared" si="204"/>
        <v>773400568.89641511</v>
      </c>
    </row>
    <row r="268" spans="3:11" x14ac:dyDescent="0.25">
      <c r="C268" s="6" t="s">
        <v>186</v>
      </c>
      <c r="D268" s="240">
        <v>186459130</v>
      </c>
      <c r="E268" s="188">
        <v>199405572</v>
      </c>
      <c r="F268" s="188">
        <v>143205290</v>
      </c>
      <c r="G268" s="185">
        <f>G272*G16</f>
        <v>229362539.67255187</v>
      </c>
      <c r="H268" s="185">
        <f>H272*H16</f>
        <v>245115965.55441287</v>
      </c>
      <c r="I268" s="185">
        <f>I272*I16</f>
        <v>261608182.90221524</v>
      </c>
      <c r="J268" s="185">
        <f>J272*J16</f>
        <v>277096220.07795411</v>
      </c>
      <c r="K268" s="185">
        <f>K272*K16</f>
        <v>293160522.33896375</v>
      </c>
    </row>
    <row r="269" spans="3:11" x14ac:dyDescent="0.25">
      <c r="C269" s="6" t="s">
        <v>223</v>
      </c>
      <c r="D269" s="240">
        <v>114863874</v>
      </c>
      <c r="E269" s="188">
        <v>135886499</v>
      </c>
      <c r="F269" s="188">
        <v>159152334</v>
      </c>
      <c r="G269" s="185">
        <f>G273*G16</f>
        <v>171702843.25654814</v>
      </c>
      <c r="H269" s="185">
        <f>H273*H16</f>
        <v>183495998.40214637</v>
      </c>
      <c r="I269" s="185">
        <f>I273*I16</f>
        <v>195842219.42963141</v>
      </c>
      <c r="J269" s="185">
        <f>J273*J16</f>
        <v>207436702.22239295</v>
      </c>
      <c r="K269" s="185">
        <f>K273*K16</f>
        <v>219462582.19863403</v>
      </c>
    </row>
    <row r="270" spans="3:11" x14ac:dyDescent="0.25">
      <c r="C270" s="6" t="s">
        <v>190</v>
      </c>
      <c r="D270" s="19">
        <f>D74</f>
        <v>455071409</v>
      </c>
      <c r="E270" s="19">
        <f>E74</f>
        <v>540749442</v>
      </c>
      <c r="F270" s="19">
        <f>F74</f>
        <v>518695424</v>
      </c>
      <c r="G270" s="185">
        <f>G267+G268-G269</f>
        <v>576355120.4160037</v>
      </c>
      <c r="H270" s="185">
        <f t="shared" ref="H270:K270" si="205">H267+H268-H269</f>
        <v>637975087.56827021</v>
      </c>
      <c r="I270" s="185">
        <f t="shared" si="205"/>
        <v>703741051.04085398</v>
      </c>
      <c r="J270" s="185">
        <f t="shared" si="205"/>
        <v>773400568.89641511</v>
      </c>
      <c r="K270" s="185">
        <f t="shared" si="205"/>
        <v>847098509.03674483</v>
      </c>
    </row>
    <row r="271" spans="3:11" x14ac:dyDescent="0.25">
      <c r="D271" s="19"/>
      <c r="E271" s="19"/>
      <c r="F271" s="19"/>
      <c r="G271" s="185"/>
      <c r="H271" s="185"/>
      <c r="I271" s="185"/>
      <c r="J271" s="185"/>
      <c r="K271" s="185"/>
    </row>
    <row r="272" spans="3:11" x14ac:dyDescent="0.25">
      <c r="C272" s="6" t="s">
        <v>187</v>
      </c>
      <c r="D272" s="1">
        <f>D268/D16</f>
        <v>1.0559145781792624E-2</v>
      </c>
      <c r="E272" s="1">
        <f>E268/E16</f>
        <v>8.2097482241138726E-3</v>
      </c>
      <c r="F272" s="1">
        <f>F268/F16</f>
        <v>5.3790473114576102E-3</v>
      </c>
      <c r="G272" s="212">
        <f>AVERAGE(D272:F272)</f>
        <v>8.0493137724547033E-3</v>
      </c>
      <c r="H272" s="212">
        <f>G272</f>
        <v>8.0493137724547033E-3</v>
      </c>
      <c r="I272" s="212">
        <f t="shared" ref="I272:K272" si="206">H272</f>
        <v>8.0493137724547033E-3</v>
      </c>
      <c r="J272" s="212">
        <f t="shared" si="206"/>
        <v>8.0493137724547033E-3</v>
      </c>
      <c r="K272" s="212">
        <f t="shared" si="206"/>
        <v>8.0493137724547033E-3</v>
      </c>
    </row>
    <row r="273" spans="3:11" x14ac:dyDescent="0.25">
      <c r="C273" s="6" t="s">
        <v>224</v>
      </c>
      <c r="D273" s="1">
        <f>D269/D16</f>
        <v>6.5047197776127103E-3</v>
      </c>
      <c r="E273" s="1">
        <f>E269/E16</f>
        <v>5.5945976466811147E-3</v>
      </c>
      <c r="F273" s="1">
        <f>F269/F16</f>
        <v>5.9780468606634831E-3</v>
      </c>
      <c r="G273" s="212">
        <f t="shared" ref="G273" si="207">AVERAGE(D273:F273)</f>
        <v>6.0257880949857691E-3</v>
      </c>
      <c r="H273" s="212">
        <f t="shared" ref="H273:K273" si="208">G273</f>
        <v>6.0257880949857691E-3</v>
      </c>
      <c r="I273" s="212">
        <f t="shared" si="208"/>
        <v>6.0257880949857691E-3</v>
      </c>
      <c r="J273" s="212">
        <f t="shared" si="208"/>
        <v>6.0257880949857691E-3</v>
      </c>
      <c r="K273" s="212">
        <f t="shared" si="208"/>
        <v>6.0257880949857691E-3</v>
      </c>
    </row>
    <row r="274" spans="3:11" x14ac:dyDescent="0.25">
      <c r="D274" s="19"/>
      <c r="E274" s="19"/>
      <c r="F274" s="19"/>
      <c r="G274" s="185"/>
      <c r="H274" s="185"/>
      <c r="I274" s="185"/>
      <c r="J274" s="185"/>
      <c r="K274" s="185"/>
    </row>
    <row r="275" spans="3:11" x14ac:dyDescent="0.25">
      <c r="C275" s="13" t="s">
        <v>188</v>
      </c>
    </row>
    <row r="276" spans="3:11" x14ac:dyDescent="0.25">
      <c r="C276" s="48" t="s">
        <v>42</v>
      </c>
      <c r="D276" s="49">
        <f t="shared" ref="D276:K276" si="209">D$13</f>
        <v>2023</v>
      </c>
      <c r="E276" s="49">
        <f t="shared" si="209"/>
        <v>2024</v>
      </c>
      <c r="F276" s="49">
        <f t="shared" si="209"/>
        <v>2025</v>
      </c>
      <c r="G276" s="50">
        <f t="shared" si="209"/>
        <v>2026</v>
      </c>
      <c r="H276" s="50">
        <f t="shared" si="209"/>
        <v>2027</v>
      </c>
      <c r="I276" s="50">
        <f t="shared" si="209"/>
        <v>2028</v>
      </c>
      <c r="J276" s="50">
        <f t="shared" si="209"/>
        <v>2029</v>
      </c>
      <c r="K276" s="50">
        <f t="shared" si="209"/>
        <v>2030</v>
      </c>
    </row>
    <row r="277" spans="3:11" x14ac:dyDescent="0.25">
      <c r="C277" s="43" t="s">
        <v>43</v>
      </c>
      <c r="D277" s="250">
        <f t="shared" ref="D277:K277" si="210">D$14</f>
        <v>45291</v>
      </c>
      <c r="E277" s="232">
        <f t="shared" si="210"/>
        <v>45657</v>
      </c>
      <c r="F277" s="232">
        <f t="shared" si="210"/>
        <v>46022</v>
      </c>
      <c r="G277" s="232">
        <f t="shared" si="210"/>
        <v>46387</v>
      </c>
      <c r="H277" s="232">
        <f t="shared" si="210"/>
        <v>46752</v>
      </c>
      <c r="I277" s="232">
        <f t="shared" si="210"/>
        <v>47118</v>
      </c>
      <c r="J277" s="232">
        <f t="shared" si="210"/>
        <v>47483</v>
      </c>
      <c r="K277" s="232">
        <f t="shared" si="210"/>
        <v>47848</v>
      </c>
    </row>
    <row r="278" spans="3:11" x14ac:dyDescent="0.25">
      <c r="D278" s="19"/>
      <c r="E278" s="19"/>
      <c r="F278" s="19"/>
      <c r="G278" s="185"/>
      <c r="H278" s="185"/>
      <c r="I278" s="185"/>
      <c r="J278" s="185"/>
      <c r="K278" s="185"/>
    </row>
    <row r="279" spans="3:11" x14ac:dyDescent="0.25">
      <c r="C279" s="6" t="s">
        <v>191</v>
      </c>
      <c r="E279" s="185">
        <f>D283</f>
        <v>513495647</v>
      </c>
      <c r="F279" s="185">
        <f t="shared" ref="F279:K279" si="211">E283</f>
        <v>624565351</v>
      </c>
      <c r="G279" s="185">
        <f t="shared" si="211"/>
        <v>626077014</v>
      </c>
      <c r="H279" s="185">
        <f t="shared" si="211"/>
        <v>741588009.42793667</v>
      </c>
      <c r="I279" s="185">
        <f t="shared" si="211"/>
        <v>865032706.26854455</v>
      </c>
      <c r="J279" s="185">
        <f t="shared" si="211"/>
        <v>996783172.85419536</v>
      </c>
      <c r="K279" s="185">
        <f t="shared" si="211"/>
        <v>1136333686.4481702</v>
      </c>
    </row>
    <row r="280" spans="3:11" x14ac:dyDescent="0.25">
      <c r="C280" s="6" t="s">
        <v>225</v>
      </c>
      <c r="D280" s="240">
        <v>186459130</v>
      </c>
      <c r="E280" s="188">
        <v>199405572</v>
      </c>
      <c r="F280" s="188">
        <v>143205290</v>
      </c>
      <c r="G280" s="185">
        <f>G286*G16</f>
        <v>229362539.67255187</v>
      </c>
      <c r="H280" s="185">
        <f>H286*H16</f>
        <v>245115965.55441287</v>
      </c>
      <c r="I280" s="185">
        <f>I286*I16</f>
        <v>261608182.90221524</v>
      </c>
      <c r="J280" s="185">
        <f>J286*J16</f>
        <v>277096220.07795411</v>
      </c>
      <c r="K280" s="185">
        <f>K286*K16</f>
        <v>293160522.33896375</v>
      </c>
    </row>
    <row r="281" spans="3:11" x14ac:dyDescent="0.25">
      <c r="C281" s="6" t="s">
        <v>229</v>
      </c>
      <c r="D281" s="188">
        <v>36858611</v>
      </c>
      <c r="E281" s="188">
        <v>39939760</v>
      </c>
      <c r="F281" s="188">
        <v>62805552</v>
      </c>
      <c r="G281" s="185">
        <f>G287*G16</f>
        <v>57851299.011932939</v>
      </c>
      <c r="H281" s="185">
        <f>H287*H16</f>
        <v>61824729.688341372</v>
      </c>
      <c r="I281" s="185">
        <f>I287*I16</f>
        <v>65984503.113067195</v>
      </c>
      <c r="J281" s="185">
        <f>J287*J16</f>
        <v>69890995.738413855</v>
      </c>
      <c r="K281" s="185">
        <f>K287*K16</f>
        <v>73942837.660143986</v>
      </c>
    </row>
    <row r="282" spans="3:11" x14ac:dyDescent="0.25">
      <c r="C282" s="6" t="s">
        <v>227</v>
      </c>
      <c r="D282" s="240">
        <v>114863874</v>
      </c>
      <c r="E282" s="188">
        <v>135886499</v>
      </c>
      <c r="F282" s="188">
        <v>159152334</v>
      </c>
      <c r="G282" s="185">
        <f>G288*G16</f>
        <v>171702843.25654814</v>
      </c>
      <c r="H282" s="185">
        <f>H288*H16</f>
        <v>183495998.40214637</v>
      </c>
      <c r="I282" s="185">
        <f>I288*I16</f>
        <v>195842219.42963141</v>
      </c>
      <c r="J282" s="185">
        <f>J288*J16</f>
        <v>207436702.22239295</v>
      </c>
      <c r="K282" s="185">
        <f>K288*K16</f>
        <v>219462582.19863403</v>
      </c>
    </row>
    <row r="283" spans="3:11" x14ac:dyDescent="0.25">
      <c r="C283" s="6" t="s">
        <v>192</v>
      </c>
      <c r="D283" s="19">
        <f>D86+D96</f>
        <v>513495647</v>
      </c>
      <c r="E283" s="19">
        <f>E86+E96</f>
        <v>624565351</v>
      </c>
      <c r="F283" s="19">
        <f>F86+F96</f>
        <v>626077014</v>
      </c>
      <c r="G283" s="185">
        <f>G279+G280+G281-G282</f>
        <v>741588009.42793667</v>
      </c>
      <c r="H283" s="185">
        <f t="shared" ref="H283:K283" si="212">H279+H280+H281-H282</f>
        <v>865032706.26854455</v>
      </c>
      <c r="I283" s="185">
        <f t="shared" si="212"/>
        <v>996783172.85419536</v>
      </c>
      <c r="J283" s="185">
        <f t="shared" si="212"/>
        <v>1136333686.4481702</v>
      </c>
      <c r="K283" s="185">
        <f t="shared" si="212"/>
        <v>1283974464.2486439</v>
      </c>
    </row>
    <row r="284" spans="3:11" x14ac:dyDescent="0.25">
      <c r="C284" s="6" t="s">
        <v>193</v>
      </c>
      <c r="D284" s="256">
        <f>D86/(D86+D96)</f>
        <v>0.22311492739879057</v>
      </c>
      <c r="E284" s="256">
        <f>E86/(E86+E96)</f>
        <v>0.25573183934118049</v>
      </c>
      <c r="F284" s="256">
        <f>F86/(F86+F96)</f>
        <v>0.29136139791262167</v>
      </c>
      <c r="G284" s="209">
        <f>F284</f>
        <v>0.29136139791262167</v>
      </c>
      <c r="H284" s="209">
        <f t="shared" ref="H284:K284" si="213">G284</f>
        <v>0.29136139791262167</v>
      </c>
      <c r="I284" s="209">
        <f t="shared" si="213"/>
        <v>0.29136139791262167</v>
      </c>
      <c r="J284" s="209">
        <f t="shared" si="213"/>
        <v>0.29136139791262167</v>
      </c>
      <c r="K284" s="209">
        <f t="shared" si="213"/>
        <v>0.29136139791262167</v>
      </c>
    </row>
    <row r="285" spans="3:11" x14ac:dyDescent="0.25">
      <c r="D285" s="256"/>
      <c r="E285" s="208"/>
      <c r="F285" s="208"/>
      <c r="G285" s="208"/>
      <c r="H285" s="208"/>
      <c r="I285" s="208"/>
      <c r="J285" s="208"/>
      <c r="K285" s="208"/>
    </row>
    <row r="286" spans="3:11" x14ac:dyDescent="0.25">
      <c r="C286" s="6" t="s">
        <v>226</v>
      </c>
      <c r="D286" s="22">
        <f>D280/D16</f>
        <v>1.0559145781792624E-2</v>
      </c>
      <c r="E286" s="22">
        <f>E280/E16</f>
        <v>8.2097482241138726E-3</v>
      </c>
      <c r="F286" s="22">
        <f>F280/F16</f>
        <v>5.3790473114576102E-3</v>
      </c>
      <c r="G286" s="212">
        <f t="shared" ref="G286:G288" si="214">AVERAGE(D286:F286)</f>
        <v>8.0493137724547033E-3</v>
      </c>
      <c r="H286" s="212">
        <f t="shared" ref="H286:K286" si="215">G286</f>
        <v>8.0493137724547033E-3</v>
      </c>
      <c r="I286" s="212">
        <f t="shared" si="215"/>
        <v>8.0493137724547033E-3</v>
      </c>
      <c r="J286" s="212">
        <f t="shared" si="215"/>
        <v>8.0493137724547033E-3</v>
      </c>
      <c r="K286" s="212">
        <f t="shared" si="215"/>
        <v>8.0493137724547033E-3</v>
      </c>
    </row>
    <row r="287" spans="3:11" x14ac:dyDescent="0.25">
      <c r="C287" s="6" t="s">
        <v>230</v>
      </c>
      <c r="D287" s="22">
        <f>D281/D16</f>
        <v>2.0872962716461524E-3</v>
      </c>
      <c r="E287" s="22">
        <f>E281/E16</f>
        <v>1.6443641491198366E-3</v>
      </c>
      <c r="F287" s="22">
        <f>F281/F16</f>
        <v>2.3590890785543687E-3</v>
      </c>
      <c r="G287" s="212">
        <f t="shared" si="214"/>
        <v>2.0302498331067858E-3</v>
      </c>
      <c r="H287" s="212">
        <f t="shared" ref="H287:K287" si="216">G287</f>
        <v>2.0302498331067858E-3</v>
      </c>
      <c r="I287" s="212">
        <f t="shared" si="216"/>
        <v>2.0302498331067858E-3</v>
      </c>
      <c r="J287" s="212">
        <f t="shared" si="216"/>
        <v>2.0302498331067858E-3</v>
      </c>
      <c r="K287" s="212">
        <f t="shared" si="216"/>
        <v>2.0302498331067858E-3</v>
      </c>
    </row>
    <row r="288" spans="3:11" x14ac:dyDescent="0.25">
      <c r="C288" s="6" t="s">
        <v>228</v>
      </c>
      <c r="D288" s="22">
        <f>D282/D16</f>
        <v>6.5047197776127103E-3</v>
      </c>
      <c r="E288" s="22">
        <f>E282/E16</f>
        <v>5.5945976466811147E-3</v>
      </c>
      <c r="F288" s="22">
        <f>F282/F16</f>
        <v>5.9780468606634831E-3</v>
      </c>
      <c r="G288" s="212">
        <f t="shared" si="214"/>
        <v>6.0257880949857691E-3</v>
      </c>
      <c r="H288" s="212">
        <f t="shared" ref="H288:K288" si="217">G288</f>
        <v>6.0257880949857691E-3</v>
      </c>
      <c r="I288" s="212">
        <f t="shared" si="217"/>
        <v>6.0257880949857691E-3</v>
      </c>
      <c r="J288" s="212">
        <f t="shared" si="217"/>
        <v>6.0257880949857691E-3</v>
      </c>
      <c r="K288" s="212">
        <f t="shared" si="217"/>
        <v>6.0257880949857691E-3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FB8B-B60E-497E-A730-4D15A5E1DAC7}">
  <dimension ref="B1:Q132"/>
  <sheetViews>
    <sheetView showGridLines="0" zoomScaleNormal="100" workbookViewId="0">
      <selection activeCell="H7" sqref="H7"/>
    </sheetView>
  </sheetViews>
  <sheetFormatPr defaultColWidth="9.140625" defaultRowHeight="15" x14ac:dyDescent="0.25"/>
  <cols>
    <col min="1" max="1" width="1.42578125" style="51" customWidth="1"/>
    <col min="2" max="2" width="54.42578125" style="51" customWidth="1"/>
    <col min="3" max="3" width="16.7109375" style="51" customWidth="1"/>
    <col min="4" max="4" width="15.5703125" style="51" bestFit="1" customWidth="1"/>
    <col min="5" max="9" width="16.42578125" style="51" customWidth="1"/>
    <col min="10" max="10" width="1.7109375" style="51" customWidth="1"/>
    <col min="11" max="11" width="12.140625" style="51" bestFit="1" customWidth="1"/>
    <col min="12" max="16" width="9.42578125" style="51" customWidth="1"/>
    <col min="17" max="16384" width="9.140625" style="51"/>
  </cols>
  <sheetData>
    <row r="1" spans="2:10" ht="15.75" thickBot="1" x14ac:dyDescent="0.3"/>
    <row r="2" spans="2:10" ht="15.75" thickBot="1" x14ac:dyDescent="0.3">
      <c r="B2" s="52" t="s">
        <v>46</v>
      </c>
      <c r="C2" s="53"/>
      <c r="D2" s="53"/>
      <c r="E2" s="53"/>
      <c r="F2" s="53"/>
      <c r="G2" s="53"/>
      <c r="H2" s="53"/>
      <c r="I2" s="53"/>
    </row>
    <row r="3" spans="2:10" x14ac:dyDescent="0.25">
      <c r="B3" s="184" t="str">
        <f>FSM!C3</f>
        <v>All amounts are shown in EGP, except per-share data, ratios, and shares outstanding</v>
      </c>
    </row>
    <row r="4" spans="2:10" x14ac:dyDescent="0.25">
      <c r="B4" s="51" t="s">
        <v>47</v>
      </c>
      <c r="C4" s="55"/>
      <c r="D4" s="55">
        <v>46022</v>
      </c>
      <c r="F4" s="51" t="s">
        <v>48</v>
      </c>
      <c r="H4" s="56">
        <f>+WACC!E21</f>
        <v>0.195360550226202</v>
      </c>
      <c r="I4" s="51" t="s">
        <v>49</v>
      </c>
    </row>
    <row r="5" spans="2:10" x14ac:dyDescent="0.25">
      <c r="B5" s="51" t="s">
        <v>50</v>
      </c>
      <c r="C5" s="57"/>
      <c r="D5" s="57">
        <f>EOMONTH(D4,12)</f>
        <v>46387</v>
      </c>
      <c r="F5" s="51" t="s">
        <v>51</v>
      </c>
      <c r="H5" s="276">
        <v>23.48</v>
      </c>
    </row>
    <row r="6" spans="2:10" x14ac:dyDescent="0.25">
      <c r="B6" s="51" t="s">
        <v>52</v>
      </c>
      <c r="C6" s="55"/>
      <c r="D6" s="55">
        <v>46022</v>
      </c>
      <c r="F6" s="51" t="s">
        <v>53</v>
      </c>
      <c r="H6" s="58">
        <v>46188</v>
      </c>
      <c r="J6" s="59"/>
    </row>
    <row r="7" spans="2:10" x14ac:dyDescent="0.25">
      <c r="B7" s="51" t="s">
        <v>54</v>
      </c>
      <c r="C7" s="55"/>
      <c r="D7" s="55">
        <v>46190</v>
      </c>
      <c r="E7" s="59"/>
      <c r="F7" s="214" t="s">
        <v>150</v>
      </c>
      <c r="G7" s="59"/>
      <c r="H7" s="260">
        <f ca="1">C73</f>
        <v>29.428046880621103</v>
      </c>
    </row>
    <row r="8" spans="2:10" x14ac:dyDescent="0.25">
      <c r="B8" s="51" t="s">
        <v>55</v>
      </c>
      <c r="C8" s="137"/>
      <c r="D8" s="137">
        <f>YEARFRAC(D7,D5)</f>
        <v>0.53888888888888886</v>
      </c>
      <c r="F8" s="214" t="s">
        <v>151</v>
      </c>
      <c r="H8" s="208">
        <f ca="1">H7/H5-1</f>
        <v>0.25332397276921226</v>
      </c>
    </row>
    <row r="9" spans="2:10" x14ac:dyDescent="0.25">
      <c r="D9" s="61"/>
      <c r="F9" t="s">
        <v>181</v>
      </c>
      <c r="G9"/>
      <c r="H9" s="246">
        <v>1</v>
      </c>
    </row>
    <row r="10" spans="2:10" x14ac:dyDescent="0.25">
      <c r="B10" s="62" t="s">
        <v>56</v>
      </c>
      <c r="C10" s="63"/>
      <c r="D10" s="64"/>
      <c r="F10" s="63"/>
      <c r="G10" s="63"/>
      <c r="H10" s="63"/>
      <c r="I10" s="63"/>
    </row>
    <row r="11" spans="2:10" ht="17.25" customHeight="1" x14ac:dyDescent="0.4">
      <c r="C11" s="65" t="s">
        <v>57</v>
      </c>
      <c r="D11" s="65" t="s">
        <v>58</v>
      </c>
      <c r="E11" s="66" t="s">
        <v>59</v>
      </c>
      <c r="F11" s="65"/>
      <c r="G11" s="65"/>
      <c r="H11" s="65"/>
      <c r="I11" s="65"/>
    </row>
    <row r="12" spans="2:10" x14ac:dyDescent="0.25">
      <c r="B12" s="67" t="s">
        <v>60</v>
      </c>
      <c r="C12" s="68">
        <f>D7</f>
        <v>46190</v>
      </c>
      <c r="D12" s="233">
        <f>D4</f>
        <v>46022</v>
      </c>
      <c r="E12" s="233">
        <f>EOMONTH(D12,12)</f>
        <v>46387</v>
      </c>
      <c r="F12" s="233">
        <f>EOMONTH(E12,12)</f>
        <v>46752</v>
      </c>
      <c r="G12" s="233">
        <f t="shared" ref="G12:I12" si="0">EOMONTH(F12,12)</f>
        <v>47118</v>
      </c>
      <c r="H12" s="233">
        <f t="shared" si="0"/>
        <v>47483</v>
      </c>
      <c r="I12" s="233">
        <f t="shared" si="0"/>
        <v>47848</v>
      </c>
    </row>
    <row r="13" spans="2:10" x14ac:dyDescent="0.25">
      <c r="B13" s="67"/>
      <c r="D13" s="176"/>
      <c r="E13" s="183"/>
      <c r="F13" s="183"/>
      <c r="G13" s="183"/>
      <c r="H13" s="183"/>
      <c r="I13" s="182"/>
    </row>
    <row r="14" spans="2:10" x14ac:dyDescent="0.25">
      <c r="B14" s="51" t="s">
        <v>61</v>
      </c>
      <c r="C14" s="155">
        <f>E14*(1-$D$8)+D14*$D$8</f>
        <v>27485938977.238888</v>
      </c>
      <c r="D14" s="177">
        <f>FSM!F16</f>
        <v>26622797999</v>
      </c>
      <c r="E14" s="177">
        <f>FSM!G16</f>
        <v>28494670000</v>
      </c>
      <c r="F14" s="177">
        <f>FSM!H16</f>
        <v>30451784150.000004</v>
      </c>
      <c r="G14" s="177">
        <f>FSM!I16</f>
        <v>32500681461.500004</v>
      </c>
      <c r="H14" s="177">
        <f>FSM!J16</f>
        <v>34424825259.787506</v>
      </c>
      <c r="I14" s="177">
        <f>FSM!K16</f>
        <v>36420560885.84581</v>
      </c>
    </row>
    <row r="15" spans="2:10" x14ac:dyDescent="0.25">
      <c r="B15" s="71" t="s">
        <v>40</v>
      </c>
      <c r="C15"/>
      <c r="D15" s="178"/>
      <c r="E15" s="178">
        <f>E14/D14-1</f>
        <v>7.0310866689155427E-2</v>
      </c>
      <c r="F15" s="178">
        <f t="shared" ref="F15:I15" si="1">F14/E14-1</f>
        <v>6.8683516952468882E-2</v>
      </c>
      <c r="G15" s="178">
        <f t="shared" si="1"/>
        <v>6.7283325712789166E-2</v>
      </c>
      <c r="H15" s="178">
        <f t="shared" si="1"/>
        <v>5.920318318761475E-2</v>
      </c>
      <c r="I15" s="178">
        <f t="shared" si="1"/>
        <v>5.7973732938292333E-2</v>
      </c>
    </row>
    <row r="16" spans="2:10" x14ac:dyDescent="0.25">
      <c r="B16" s="51" t="s">
        <v>24</v>
      </c>
      <c r="C16" s="155">
        <f ca="1">E16*(1-$D$8)+D16*$D$8</f>
        <v>3874360625.2365561</v>
      </c>
      <c r="D16" s="177">
        <f>FSM!F42</f>
        <v>3667611139</v>
      </c>
      <c r="E16" s="177">
        <f ca="1">FSM!G42</f>
        <v>4115983518.7901216</v>
      </c>
      <c r="F16" s="177">
        <f ca="1">FSM!H42</f>
        <v>4398683742.5790253</v>
      </c>
      <c r="G16" s="177">
        <f ca="1">FSM!I42</f>
        <v>4694641813.5385199</v>
      </c>
      <c r="H16" s="177">
        <f ca="1">FSM!J42</f>
        <v>4972579552.8256779</v>
      </c>
      <c r="I16" s="177">
        <f ca="1">FSM!K42</f>
        <v>5260858551.8356056</v>
      </c>
    </row>
    <row r="17" spans="2:13" x14ac:dyDescent="0.25">
      <c r="B17" s="71" t="s">
        <v>62</v>
      </c>
      <c r="C17"/>
      <c r="D17" s="178">
        <f>D16/D14</f>
        <v>0.13776204661650371</v>
      </c>
      <c r="E17" s="178">
        <f t="shared" ref="E17:I17" ca="1" si="2">E16/E14</f>
        <v>0.14444748855803985</v>
      </c>
      <c r="F17" s="178">
        <f t="shared" ca="1" si="2"/>
        <v>0.14444748855803988</v>
      </c>
      <c r="G17" s="178">
        <f t="shared" ca="1" si="2"/>
        <v>0.14444748855803985</v>
      </c>
      <c r="H17" s="178">
        <f t="shared" ca="1" si="2"/>
        <v>0.14444748855803988</v>
      </c>
      <c r="I17" s="178">
        <f t="shared" ca="1" si="2"/>
        <v>0.14444748855803982</v>
      </c>
    </row>
    <row r="18" spans="2:13" x14ac:dyDescent="0.25">
      <c r="B18" s="51" t="s">
        <v>63</v>
      </c>
      <c r="C18" s="155">
        <f ca="1">E18*(1-$D$8)+D18*$D$8</f>
        <v>2555454340.9231787</v>
      </c>
      <c r="D18" s="177">
        <f>FSM!F28</f>
        <v>2390730054</v>
      </c>
      <c r="E18" s="177">
        <f ca="1">FSM!G28</f>
        <v>2747963447.3273764</v>
      </c>
      <c r="F18" s="177">
        <f ca="1">FSM!H28</f>
        <v>2936703241.3466511</v>
      </c>
      <c r="G18" s="177">
        <f ca="1">FSM!I28</f>
        <v>3134294402.0559812</v>
      </c>
      <c r="H18" s="177">
        <f ca="1">FSM!J28</f>
        <v>3319854607.7048178</v>
      </c>
      <c r="I18" s="177">
        <f ca="1">FSM!K28</f>
        <v>3512318972.1258554</v>
      </c>
    </row>
    <row r="19" spans="2:13" x14ac:dyDescent="0.25">
      <c r="B19" s="71" t="s">
        <v>62</v>
      </c>
      <c r="D19" s="178">
        <f>D18/D14</f>
        <v>8.9800104935995093E-2</v>
      </c>
      <c r="E19" s="178">
        <f t="shared" ref="E19:I19" ca="1" si="3">E18/E14</f>
        <v>9.6437805643208932E-2</v>
      </c>
      <c r="F19" s="178">
        <f t="shared" ca="1" si="3"/>
        <v>9.6437805643208946E-2</v>
      </c>
      <c r="G19" s="178">
        <f t="shared" ca="1" si="3"/>
        <v>9.6437805643208932E-2</v>
      </c>
      <c r="H19" s="178">
        <f t="shared" ca="1" si="3"/>
        <v>9.643780564320896E-2</v>
      </c>
      <c r="I19" s="178">
        <f t="shared" ca="1" si="3"/>
        <v>9.6437805643208932E-2</v>
      </c>
    </row>
    <row r="20" spans="2:13" x14ac:dyDescent="0.25">
      <c r="B20" s="71"/>
      <c r="D20" s="177"/>
      <c r="E20" s="177"/>
      <c r="F20" s="177"/>
      <c r="G20" s="177"/>
      <c r="H20" s="177"/>
      <c r="I20" s="177"/>
    </row>
    <row r="21" spans="2:13" x14ac:dyDescent="0.25">
      <c r="B21" s="51" t="s">
        <v>64</v>
      </c>
      <c r="D21" s="179">
        <f>D18*D22</f>
        <v>339853504.84107107</v>
      </c>
      <c r="E21" s="179">
        <f t="shared" ref="E21:I21" ca="1" si="4">E18*E22</f>
        <v>301042091.14205748</v>
      </c>
      <c r="F21" s="179">
        <f t="shared" ca="1" si="4"/>
        <v>321718720.71241969</v>
      </c>
      <c r="G21" s="179">
        <f t="shared" ca="1" si="4"/>
        <v>343365026.18601525</v>
      </c>
      <c r="H21" s="179">
        <f t="shared" ca="1" si="4"/>
        <v>363693328.73152614</v>
      </c>
      <c r="I21" s="179">
        <f t="shared" ca="1" si="4"/>
        <v>384777988.64284611</v>
      </c>
    </row>
    <row r="22" spans="2:13" ht="15" customHeight="1" x14ac:dyDescent="0.25">
      <c r="B22" s="71" t="s">
        <v>26</v>
      </c>
      <c r="D22" s="180">
        <f>-FSM!F53</f>
        <v>0.14215469633321934</v>
      </c>
      <c r="E22" s="180">
        <f ca="1">-FSM!G53</f>
        <v>0.10955098090363831</v>
      </c>
      <c r="F22" s="180">
        <f ca="1">-FSM!H53</f>
        <v>0.10955098090363831</v>
      </c>
      <c r="G22" s="180">
        <f ca="1">-FSM!I53</f>
        <v>0.10955098090363831</v>
      </c>
      <c r="H22" s="180">
        <f ca="1">-FSM!J53</f>
        <v>0.10955098090363831</v>
      </c>
      <c r="I22" s="180">
        <f ca="1">-FSM!K53</f>
        <v>0.10955098090363831</v>
      </c>
    </row>
    <row r="23" spans="2:13" x14ac:dyDescent="0.25">
      <c r="B23" s="72" t="s">
        <v>65</v>
      </c>
      <c r="C23" s="72"/>
      <c r="D23" s="181">
        <f>D18*(1-D22)</f>
        <v>2050876549.1589291</v>
      </c>
      <c r="E23" s="181">
        <f t="shared" ref="E23:I23" ca="1" si="5">E18*(1-E22)</f>
        <v>2446921356.1853189</v>
      </c>
      <c r="F23" s="181">
        <f t="shared" ca="1" si="5"/>
        <v>2614984520.6342311</v>
      </c>
      <c r="G23" s="181">
        <f t="shared" ca="1" si="5"/>
        <v>2790929375.8699656</v>
      </c>
      <c r="H23" s="181">
        <f t="shared" ca="1" si="5"/>
        <v>2956161278.9732914</v>
      </c>
      <c r="I23" s="181">
        <f t="shared" ca="1" si="5"/>
        <v>3127540983.4830093</v>
      </c>
    </row>
    <row r="24" spans="2:13" x14ac:dyDescent="0.25">
      <c r="D24" s="69"/>
      <c r="E24" s="69"/>
      <c r="F24" s="69"/>
      <c r="G24" s="69"/>
      <c r="H24" s="69"/>
      <c r="I24" s="69"/>
    </row>
    <row r="25" spans="2:13" x14ac:dyDescent="0.25">
      <c r="B25" s="51" t="s">
        <v>23</v>
      </c>
      <c r="D25" s="70"/>
      <c r="E25" s="70">
        <f>FSM!G164</f>
        <v>1368020071.4627452</v>
      </c>
      <c r="F25" s="70">
        <f>FSM!H164</f>
        <v>1461980501.2323742</v>
      </c>
      <c r="G25" s="70">
        <f>FSM!I164</f>
        <v>1560347411.4825387</v>
      </c>
      <c r="H25" s="70">
        <f>FSM!J164</f>
        <v>1652724945.1208601</v>
      </c>
      <c r="I25" s="70">
        <f>FSM!K164</f>
        <v>1748539579.7097507</v>
      </c>
      <c r="M25" s="74"/>
    </row>
    <row r="26" spans="2:13" x14ac:dyDescent="0.25">
      <c r="B26" s="51" t="s">
        <v>66</v>
      </c>
      <c r="D26" s="69"/>
      <c r="E26" s="69">
        <f>D32-E32</f>
        <v>-1737845951.8668594</v>
      </c>
      <c r="F26" s="69">
        <f t="shared" ref="F26:I26" si="6">E32-F32</f>
        <v>-906010995.05956268</v>
      </c>
      <c r="G26" s="69">
        <f t="shared" si="6"/>
        <v>-948500368.24217224</v>
      </c>
      <c r="H26" s="69">
        <f t="shared" si="6"/>
        <v>-890747960.37018967</v>
      </c>
      <c r="I26" s="69">
        <f t="shared" si="6"/>
        <v>-923890116.70111656</v>
      </c>
      <c r="M26" s="74"/>
    </row>
    <row r="27" spans="2:13" x14ac:dyDescent="0.25">
      <c r="B27" s="51" t="s">
        <v>67</v>
      </c>
      <c r="D27" s="70"/>
      <c r="E27" s="70">
        <f>-FSM!G153</f>
        <v>-1042971738.5497104</v>
      </c>
      <c r="F27" s="70">
        <f>-FSM!H153</f>
        <v>-1114606705.6353352</v>
      </c>
      <c r="G27" s="70">
        <f>-FSM!I153</f>
        <v>-1189601151.6522565</v>
      </c>
      <c r="H27" s="70">
        <f>-FSM!J153</f>
        <v>-1260029326.5537226</v>
      </c>
      <c r="I27" s="70">
        <f>-FSM!K153</f>
        <v>-1333077930.2257645</v>
      </c>
      <c r="M27" s="74"/>
    </row>
    <row r="28" spans="2:13" x14ac:dyDescent="0.25">
      <c r="B28" s="71" t="s">
        <v>38</v>
      </c>
      <c r="D28" s="1"/>
      <c r="E28" s="1">
        <f>E27/E14</f>
        <v>-3.6602344878874205E-2</v>
      </c>
      <c r="F28" s="1">
        <f t="shared" ref="F28:I28" si="7">F27/F14</f>
        <v>-3.6602344878874205E-2</v>
      </c>
      <c r="G28" s="1">
        <f t="shared" si="7"/>
        <v>-3.6602344878874205E-2</v>
      </c>
      <c r="H28" s="1">
        <f t="shared" si="7"/>
        <v>-3.6602344878874205E-2</v>
      </c>
      <c r="I28" s="1">
        <f t="shared" si="7"/>
        <v>-3.6602344878874205E-2</v>
      </c>
      <c r="M28" s="74"/>
    </row>
    <row r="29" spans="2:13" x14ac:dyDescent="0.25">
      <c r="B29" s="214"/>
      <c r="D29" s="70"/>
      <c r="E29" s="70"/>
      <c r="F29" s="70"/>
      <c r="G29" s="70"/>
      <c r="H29" s="70"/>
      <c r="I29" s="70"/>
      <c r="M29" s="74"/>
    </row>
    <row r="30" spans="2:13" x14ac:dyDescent="0.25">
      <c r="B30" s="72" t="s">
        <v>68</v>
      </c>
      <c r="C30" s="72"/>
      <c r="D30" s="73"/>
      <c r="E30" s="73">
        <f ca="1">E23+E25+E26+E27</f>
        <v>1034123737.2314943</v>
      </c>
      <c r="F30" s="73">
        <f t="shared" ref="F30:I30" ca="1" si="8">F23+F25+F26+F27</f>
        <v>2056347321.1717074</v>
      </c>
      <c r="G30" s="73">
        <f t="shared" ca="1" si="8"/>
        <v>2213175267.458076</v>
      </c>
      <c r="H30" s="73">
        <f t="shared" ca="1" si="8"/>
        <v>2458108937.1702394</v>
      </c>
      <c r="I30" s="73">
        <f t="shared" ca="1" si="8"/>
        <v>2619112516.2658796</v>
      </c>
      <c r="M30" s="73"/>
    </row>
    <row r="31" spans="2:13" x14ac:dyDescent="0.25">
      <c r="D31" s="70"/>
      <c r="E31" s="70"/>
      <c r="F31" s="70"/>
      <c r="G31" s="70"/>
      <c r="H31" s="70"/>
      <c r="I31" s="70"/>
      <c r="M31" s="74"/>
    </row>
    <row r="32" spans="2:13" x14ac:dyDescent="0.25">
      <c r="B32" s="51" t="s">
        <v>69</v>
      </c>
      <c r="C32" s="70"/>
      <c r="D32" s="70">
        <f>FSM!F215</f>
        <v>11453251931</v>
      </c>
      <c r="E32" s="70">
        <f>FSM!G215</f>
        <v>13191097882.866859</v>
      </c>
      <c r="F32" s="70">
        <f>FSM!H215</f>
        <v>14097108877.926422</v>
      </c>
      <c r="G32" s="70">
        <f>FSM!I215</f>
        <v>15045609246.168594</v>
      </c>
      <c r="H32" s="70">
        <f>FSM!J215</f>
        <v>15936357206.538784</v>
      </c>
      <c r="I32" s="70">
        <f>FSM!K215</f>
        <v>16860247323.239901</v>
      </c>
    </row>
    <row r="33" spans="2:13" x14ac:dyDescent="0.25">
      <c r="B33" s="71" t="s">
        <v>38</v>
      </c>
      <c r="D33" s="60">
        <f>D32/D14</f>
        <v>0.43020466637016158</v>
      </c>
      <c r="E33" s="60">
        <f t="shared" ref="E33:I33" si="9">E32/E14</f>
        <v>0.46293211617705554</v>
      </c>
      <c r="F33" s="60">
        <f t="shared" si="9"/>
        <v>0.4629321161770556</v>
      </c>
      <c r="G33" s="60">
        <f t="shared" si="9"/>
        <v>0.46293211617705554</v>
      </c>
      <c r="H33" s="60">
        <f t="shared" si="9"/>
        <v>0.46293211617705549</v>
      </c>
      <c r="I33" s="60">
        <f t="shared" si="9"/>
        <v>0.46293211617705565</v>
      </c>
      <c r="J33" s="70"/>
    </row>
    <row r="34" spans="2:13" x14ac:dyDescent="0.25">
      <c r="D34"/>
      <c r="E34" s="60"/>
      <c r="F34" s="60"/>
      <c r="G34" s="60"/>
      <c r="H34" s="60"/>
      <c r="I34" s="60"/>
      <c r="J34" s="70"/>
      <c r="K34" s="75"/>
      <c r="M34" s="60"/>
    </row>
    <row r="35" spans="2:13" x14ac:dyDescent="0.25">
      <c r="B35" s="62" t="str">
        <f>"Present value of UFCF on "&amp;TEXT(D7,"mmm dd, yyyy")&amp;" valuation date"</f>
        <v>Present value of UFCF on Jun 17, 2026 valuation date</v>
      </c>
      <c r="C35" s="63"/>
      <c r="D35" s="76"/>
      <c r="E35" s="63"/>
      <c r="F35" s="76"/>
      <c r="G35" s="76"/>
      <c r="H35" s="76"/>
      <c r="I35" s="76"/>
      <c r="J35" s="70"/>
    </row>
    <row r="36" spans="2:13" ht="17.25" x14ac:dyDescent="0.4">
      <c r="B36" s="72"/>
      <c r="D36" s="77" t="s">
        <v>70</v>
      </c>
      <c r="E36" s="77" t="s">
        <v>71</v>
      </c>
      <c r="F36" s="78" t="s">
        <v>72</v>
      </c>
      <c r="G36" s="78" t="s">
        <v>73</v>
      </c>
      <c r="H36" s="78" t="s">
        <v>74</v>
      </c>
      <c r="I36" s="78" t="s">
        <v>75</v>
      </c>
      <c r="J36" s="70"/>
    </row>
    <row r="37" spans="2:13" x14ac:dyDescent="0.25">
      <c r="B37" s="51" t="s">
        <v>76</v>
      </c>
      <c r="D37" s="79">
        <f>D7</f>
        <v>46190</v>
      </c>
      <c r="E37" s="156">
        <f>IF($H$9=1,AVERAGE(E12,D37),E12)</f>
        <v>46288.5</v>
      </c>
      <c r="F37" s="156">
        <f>IF($H$9=1,AVERAGE(F12,E12),F12)</f>
        <v>46569.5</v>
      </c>
      <c r="G37" s="156">
        <f>IF($H$9=1,AVERAGE(G12,F12),G12)</f>
        <v>46935</v>
      </c>
      <c r="H37" s="156">
        <f>IF($H$9=1,AVERAGE(H12,G12),H12)</f>
        <v>47300.5</v>
      </c>
      <c r="I37" s="156">
        <f>IF($H$9=1,AVERAGE(I12,H12),I12)</f>
        <v>47665.5</v>
      </c>
      <c r="J37" s="70"/>
    </row>
    <row r="38" spans="2:13" x14ac:dyDescent="0.25">
      <c r="B38" s="51" t="s">
        <v>77</v>
      </c>
      <c r="C38" s="80">
        <f>D8</f>
        <v>0.53888888888888886</v>
      </c>
      <c r="D38" s="74"/>
      <c r="E38" s="81">
        <f ca="1">E30*C38</f>
        <v>557277791.73030519</v>
      </c>
      <c r="F38" s="81">
        <f ca="1">F30</f>
        <v>2056347321.1717074</v>
      </c>
      <c r="G38" s="81">
        <f t="shared" ref="G38:I38" ca="1" si="10">G30</f>
        <v>2213175267.458076</v>
      </c>
      <c r="H38" s="81">
        <f t="shared" ca="1" si="10"/>
        <v>2458108937.1702394</v>
      </c>
      <c r="I38" s="81">
        <f t="shared" ca="1" si="10"/>
        <v>2619112516.2658796</v>
      </c>
      <c r="J38" s="69"/>
    </row>
    <row r="39" spans="2:13" ht="15" customHeight="1" x14ac:dyDescent="0.25">
      <c r="B39" s="72" t="s">
        <v>78</v>
      </c>
      <c r="C39" s="82"/>
      <c r="D39" s="73"/>
      <c r="E39" s="73">
        <f ca="1">E38/(1+$H$4)^((E37-$D$37)/365)</f>
        <v>531077184.70490617</v>
      </c>
      <c r="F39" s="73">
        <f t="shared" ref="F39:I39" ca="1" si="11">F38/(1+$H$4)^((F37-$D$37)/365)</f>
        <v>1708121765.1750669</v>
      </c>
      <c r="G39" s="73">
        <f t="shared" ca="1" si="11"/>
        <v>1537563579.4871216</v>
      </c>
      <c r="H39" s="73">
        <f t="shared" ca="1" si="11"/>
        <v>1428279881.7311339</v>
      </c>
      <c r="I39" s="73">
        <f t="shared" ca="1" si="11"/>
        <v>1273114399.1403277</v>
      </c>
      <c r="J39" s="69"/>
    </row>
    <row r="41" spans="2:13" x14ac:dyDescent="0.25">
      <c r="B41" s="62" t="s">
        <v>79</v>
      </c>
      <c r="C41" s="62"/>
      <c r="E41" s="62" t="s">
        <v>80</v>
      </c>
      <c r="F41" s="63"/>
      <c r="G41" s="63"/>
      <c r="H41" s="63"/>
      <c r="I41" s="63"/>
    </row>
    <row r="42" spans="2:13" x14ac:dyDescent="0.25">
      <c r="B42" s="51" t="s">
        <v>81</v>
      </c>
      <c r="C42" s="83">
        <v>0.1</v>
      </c>
      <c r="E42" s="51" t="s">
        <v>82</v>
      </c>
      <c r="I42" s="74">
        <f ca="1">I16</f>
        <v>5260858551.8356056</v>
      </c>
      <c r="J42" s="74"/>
    </row>
    <row r="43" spans="2:13" x14ac:dyDescent="0.25">
      <c r="B43" s="84" t="str">
        <f>YEAR(I12)&amp;" FCF x (1+g)"</f>
        <v>2030 FCF x (1+g)</v>
      </c>
      <c r="C43" s="74">
        <f ca="1">I38*(1+C42)</f>
        <v>2881023767.892468</v>
      </c>
      <c r="E43" s="51" t="s">
        <v>83</v>
      </c>
      <c r="I43" s="279">
        <v>5.9</v>
      </c>
      <c r="J43" s="85"/>
    </row>
    <row r="44" spans="2:13" x14ac:dyDescent="0.25">
      <c r="B44" s="51" t="str">
        <f>"Terminal value in "&amp;YEAR(I12)</f>
        <v>Terminal value in 2030</v>
      </c>
      <c r="C44" s="74">
        <f ca="1">C43/(H4-C42)</f>
        <v>30211903780.530579</v>
      </c>
      <c r="E44" s="51" t="str">
        <f>"Terminal value in "&amp;YEAR(I12)</f>
        <v>Terminal value in 2030</v>
      </c>
      <c r="I44" s="74">
        <f ca="1">I42*I43</f>
        <v>31039065455.830074</v>
      </c>
      <c r="J44" s="74"/>
    </row>
    <row r="45" spans="2:13" x14ac:dyDescent="0.25">
      <c r="B45" s="51" t="s">
        <v>84</v>
      </c>
      <c r="C45" s="74">
        <f ca="1">C44/(1+H4)^((I37-$D$37)/365)</f>
        <v>14685588912.107271</v>
      </c>
      <c r="E45" s="51" t="s">
        <v>84</v>
      </c>
      <c r="I45" s="74">
        <f ca="1">I44/(1+H4)^((I37-D37)/365)</f>
        <v>15087660771.449232</v>
      </c>
      <c r="J45" s="74"/>
    </row>
    <row r="46" spans="2:13" x14ac:dyDescent="0.25">
      <c r="B46" s="51" t="s">
        <v>85</v>
      </c>
      <c r="C46" s="69">
        <f ca="1">SUM(E39:I39)</f>
        <v>6478156810.2385559</v>
      </c>
      <c r="E46" s="51" t="s">
        <v>85</v>
      </c>
      <c r="I46" s="74">
        <f ca="1">C46</f>
        <v>6478156810.2385559</v>
      </c>
      <c r="J46" s="74"/>
    </row>
    <row r="47" spans="2:13" x14ac:dyDescent="0.25">
      <c r="B47" s="72" t="s">
        <v>86</v>
      </c>
      <c r="C47" s="86">
        <f ca="1">C45+C46</f>
        <v>21163745722.345825</v>
      </c>
      <c r="E47" s="72" t="s">
        <v>87</v>
      </c>
      <c r="I47" s="86">
        <f ca="1">I45+I46</f>
        <v>21565817581.68779</v>
      </c>
      <c r="J47" s="86"/>
    </row>
    <row r="49" spans="2:10" x14ac:dyDescent="0.25">
      <c r="B49" s="87" t="s">
        <v>88</v>
      </c>
      <c r="C49" s="88">
        <f ca="1">C45/C47</f>
        <v>0.69390310698173974</v>
      </c>
      <c r="E49" s="87" t="s">
        <v>88</v>
      </c>
      <c r="I49" s="88">
        <f ca="1">I45/I47</f>
        <v>0.69960995980326923</v>
      </c>
      <c r="J49" s="88"/>
    </row>
    <row r="50" spans="2:10" x14ac:dyDescent="0.25">
      <c r="B50" s="87" t="s">
        <v>89</v>
      </c>
      <c r="C50" s="88">
        <f ca="1">1-C49</f>
        <v>0.30609689301826026</v>
      </c>
      <c r="E50" s="87" t="s">
        <v>90</v>
      </c>
      <c r="G50" s="89"/>
      <c r="I50" s="90">
        <f ca="1">1-I49</f>
        <v>0.30039004019673077</v>
      </c>
      <c r="J50" s="90"/>
    </row>
    <row r="51" spans="2:10" x14ac:dyDescent="0.25">
      <c r="B51" s="87" t="s">
        <v>91</v>
      </c>
      <c r="C51" s="91">
        <f ca="1">C44/I16</f>
        <v>5.7427705920717287</v>
      </c>
      <c r="E51" s="51" t="s">
        <v>92</v>
      </c>
      <c r="I51" s="219">
        <f ca="1">(H4-I38/I44)/(1+I38/I44)</f>
        <v>0.10234351938325303</v>
      </c>
      <c r="J51" s="92"/>
    </row>
    <row r="52" spans="2:10" x14ac:dyDescent="0.25">
      <c r="B52" s="87"/>
      <c r="C52" s="67"/>
      <c r="D52" s="91"/>
      <c r="I52" s="92"/>
      <c r="J52" s="92"/>
    </row>
    <row r="53" spans="2:10" x14ac:dyDescent="0.25">
      <c r="B53" s="62" t="s">
        <v>93</v>
      </c>
      <c r="C53" s="63"/>
      <c r="E53" s="62" t="s">
        <v>30</v>
      </c>
      <c r="F53" s="63"/>
      <c r="G53" s="62"/>
      <c r="H53" s="63"/>
      <c r="I53" s="63"/>
    </row>
    <row r="54" spans="2:10" x14ac:dyDescent="0.25">
      <c r="B54" s="51" t="s">
        <v>94</v>
      </c>
      <c r="C54" s="191" t="s">
        <v>178</v>
      </c>
    </row>
    <row r="55" spans="2:10" x14ac:dyDescent="0.25">
      <c r="B55" s="93" t="s">
        <v>95</v>
      </c>
      <c r="C55" s="58" t="s">
        <v>179</v>
      </c>
      <c r="G55" s="94" t="s">
        <v>94</v>
      </c>
      <c r="H55" s="95" t="s">
        <v>96</v>
      </c>
      <c r="I55" s="95" t="s">
        <v>97</v>
      </c>
    </row>
    <row r="56" spans="2:10" x14ac:dyDescent="0.25">
      <c r="B56" s="96" t="s">
        <v>98</v>
      </c>
      <c r="C56" s="97"/>
      <c r="E56" s="51" t="s">
        <v>99</v>
      </c>
      <c r="G56" s="192" t="s">
        <v>178</v>
      </c>
      <c r="H56" s="58" t="s">
        <v>179</v>
      </c>
      <c r="I56" s="189">
        <v>665107268</v>
      </c>
      <c r="J56" s="98"/>
    </row>
    <row r="57" spans="2:10" x14ac:dyDescent="0.25">
      <c r="B57" s="71" t="s">
        <v>100</v>
      </c>
      <c r="C57" s="100">
        <f>FSM!F85+FSM!F86+FSM!F87+FSM!F95+FSM!F96</f>
        <v>7469154055</v>
      </c>
      <c r="E57" s="93" t="s">
        <v>101</v>
      </c>
      <c r="G57" s="192"/>
      <c r="H57" s="58"/>
      <c r="I57" s="185"/>
      <c r="J57" s="99"/>
    </row>
    <row r="58" spans="2:10" x14ac:dyDescent="0.25">
      <c r="B58" s="71" t="s">
        <v>102</v>
      </c>
      <c r="C58" s="185"/>
      <c r="E58" s="93" t="s">
        <v>103</v>
      </c>
      <c r="G58" s="58"/>
      <c r="H58" s="58"/>
      <c r="I58" s="185"/>
    </row>
    <row r="59" spans="2:10" ht="15" customHeight="1" x14ac:dyDescent="0.25">
      <c r="B59" s="71" t="s">
        <v>104</v>
      </c>
      <c r="C59" s="185"/>
      <c r="E59" s="51" t="s">
        <v>102</v>
      </c>
      <c r="G59" s="58"/>
      <c r="H59" s="58"/>
      <c r="I59" s="185"/>
    </row>
    <row r="60" spans="2:10" x14ac:dyDescent="0.25">
      <c r="B60" s="101" t="s">
        <v>105</v>
      </c>
      <c r="C60" s="100">
        <f>FSM!F109</f>
        <v>1966368620</v>
      </c>
      <c r="E60" s="51" t="s">
        <v>106</v>
      </c>
      <c r="G60" s="58"/>
      <c r="H60" s="58"/>
      <c r="I60" s="185"/>
    </row>
    <row r="61" spans="2:10" ht="15" customHeight="1" x14ac:dyDescent="0.25">
      <c r="B61" s="96" t="s">
        <v>107</v>
      </c>
      <c r="C61" s="100"/>
      <c r="E61" s="102" t="s">
        <v>108</v>
      </c>
      <c r="I61" s="190">
        <f>SUM(I56:I60)</f>
        <v>665107268</v>
      </c>
      <c r="J61" s="103"/>
    </row>
    <row r="62" spans="2:10" x14ac:dyDescent="0.25">
      <c r="B62" s="104" t="s">
        <v>109</v>
      </c>
      <c r="C62" s="100">
        <f>FSM!F68</f>
        <v>4632540191</v>
      </c>
      <c r="J62" s="105"/>
    </row>
    <row r="63" spans="2:10" x14ac:dyDescent="0.25">
      <c r="B63" s="104" t="s">
        <v>110</v>
      </c>
      <c r="C63" s="100">
        <f>FSM!F76</f>
        <v>1010593966</v>
      </c>
      <c r="J63" s="105"/>
    </row>
    <row r="64" spans="2:10" x14ac:dyDescent="0.25">
      <c r="B64" s="104" t="s">
        <v>172</v>
      </c>
      <c r="C64" s="100">
        <f>FSM!F65+FSM!F66+FSM!F67</f>
        <v>2201450659</v>
      </c>
      <c r="J64" s="106"/>
    </row>
    <row r="65" spans="2:6" x14ac:dyDescent="0.25">
      <c r="B65" s="107" t="s">
        <v>93</v>
      </c>
      <c r="C65" s="14">
        <f>SUM(C57:C60)-SUM(C62:C64)</f>
        <v>1590937859</v>
      </c>
    </row>
    <row r="67" spans="2:6" x14ac:dyDescent="0.25">
      <c r="B67" s="62" t="s">
        <v>111</v>
      </c>
      <c r="C67" s="63"/>
      <c r="D67" s="63"/>
    </row>
    <row r="68" spans="2:6" ht="17.25" x14ac:dyDescent="0.4">
      <c r="C68" s="108" t="s">
        <v>112</v>
      </c>
      <c r="D68" s="108" t="s">
        <v>24</v>
      </c>
    </row>
    <row r="69" spans="2:6" x14ac:dyDescent="0.25">
      <c r="B69" s="51" t="s">
        <v>113</v>
      </c>
      <c r="C69" s="109">
        <f ca="1">C47</f>
        <v>21163745722.345825</v>
      </c>
      <c r="D69" s="109">
        <f ca="1">I47</f>
        <v>21565817581.68779</v>
      </c>
    </row>
    <row r="70" spans="2:6" x14ac:dyDescent="0.25">
      <c r="B70" s="51" t="s">
        <v>93</v>
      </c>
      <c r="C70" s="110">
        <f>C65</f>
        <v>1590937859</v>
      </c>
      <c r="D70" s="110">
        <f>C65</f>
        <v>1590937859</v>
      </c>
    </row>
    <row r="71" spans="2:6" x14ac:dyDescent="0.25">
      <c r="B71" s="51" t="s">
        <v>114</v>
      </c>
      <c r="C71" s="111">
        <f ca="1">C69-C70</f>
        <v>19572807863.345825</v>
      </c>
      <c r="D71" s="111">
        <f t="shared" ref="D71" ca="1" si="12">D69-D70</f>
        <v>19974879722.68779</v>
      </c>
    </row>
    <row r="72" spans="2:6" x14ac:dyDescent="0.25">
      <c r="B72" s="51" t="s">
        <v>30</v>
      </c>
      <c r="C72" s="215">
        <f>$I$61</f>
        <v>665107268</v>
      </c>
      <c r="D72" s="215">
        <f t="shared" ref="D72" si="13">$I$61</f>
        <v>665107268</v>
      </c>
    </row>
    <row r="73" spans="2:6" x14ac:dyDescent="0.25">
      <c r="B73" s="72" t="s">
        <v>115</v>
      </c>
      <c r="C73" s="259">
        <f ca="1">C71/C72</f>
        <v>29.428046880621103</v>
      </c>
      <c r="D73" s="259">
        <f t="shared" ref="D73" ca="1" si="14">D71/D72</f>
        <v>30.032568705425408</v>
      </c>
    </row>
    <row r="75" spans="2:6" ht="17.25" x14ac:dyDescent="0.4">
      <c r="C75" s="65" t="s">
        <v>116</v>
      </c>
      <c r="D75" s="65"/>
    </row>
    <row r="76" spans="2:6" x14ac:dyDescent="0.25">
      <c r="B76" s="94"/>
      <c r="C76" s="95" t="s">
        <v>112</v>
      </c>
      <c r="D76" s="95" t="s">
        <v>24</v>
      </c>
    </row>
    <row r="77" spans="2:6" x14ac:dyDescent="0.25">
      <c r="B77" s="51" t="s">
        <v>117</v>
      </c>
      <c r="C77" s="238">
        <f ca="1">C69/$C$14</f>
        <v>0.76998445422845219</v>
      </c>
      <c r="D77" s="238">
        <f ca="1">D69/$C$14</f>
        <v>0.7846127286954413</v>
      </c>
    </row>
    <row r="78" spans="2:6" x14ac:dyDescent="0.25">
      <c r="B78" s="51" t="s">
        <v>118</v>
      </c>
      <c r="C78" s="239">
        <f ca="1">C69/$C$16</f>
        <v>5.4625131136453344</v>
      </c>
      <c r="D78" s="239">
        <f ca="1">D69/$C$16</f>
        <v>5.5662907167737004</v>
      </c>
    </row>
    <row r="79" spans="2:6" x14ac:dyDescent="0.25">
      <c r="B79" s="69" t="s">
        <v>119</v>
      </c>
      <c r="C79" s="239">
        <f ca="1">C69/$C$18</f>
        <v>8.2817937238903081</v>
      </c>
      <c r="D79" s="239">
        <f ca="1">D69/$C$18</f>
        <v>8.4391324221026629</v>
      </c>
    </row>
    <row r="80" spans="2:6" ht="17.25" x14ac:dyDescent="0.4">
      <c r="B80" s="69"/>
      <c r="C80" s="65" t="s">
        <v>120</v>
      </c>
      <c r="D80" s="65"/>
      <c r="E80" s="112"/>
      <c r="F80" s="112"/>
    </row>
    <row r="81" spans="2:17" x14ac:dyDescent="0.25">
      <c r="B81" s="94"/>
      <c r="C81" s="95" t="s">
        <v>112</v>
      </c>
      <c r="D81" s="95" t="s">
        <v>24</v>
      </c>
      <c r="E81" s="112"/>
      <c r="F81" s="112"/>
    </row>
    <row r="82" spans="2:17" x14ac:dyDescent="0.25">
      <c r="B82" s="51" t="s">
        <v>117</v>
      </c>
      <c r="C82" s="238">
        <f ca="1">C69/$E$14</f>
        <v>0.74272647208568565</v>
      </c>
      <c r="D82" s="238">
        <f ca="1">D69/$E$14</f>
        <v>0.75683689552073385</v>
      </c>
      <c r="E82" s="112"/>
      <c r="F82" s="112"/>
    </row>
    <row r="83" spans="2:17" x14ac:dyDescent="0.25">
      <c r="B83" s="51" t="s">
        <v>118</v>
      </c>
      <c r="C83" s="239">
        <f ca="1">C69/$E$16</f>
        <v>5.1418441365787659</v>
      </c>
      <c r="D83" s="239">
        <f ca="1">D69/$E$16</f>
        <v>5.2395296247510199</v>
      </c>
      <c r="E83" s="112"/>
      <c r="F83" s="112"/>
    </row>
    <row r="84" spans="2:17" x14ac:dyDescent="0.25">
      <c r="B84" s="69" t="s">
        <v>119</v>
      </c>
      <c r="C84" s="239">
        <f ca="1">C69/$E$18</f>
        <v>7.7016110759876861</v>
      </c>
      <c r="D84" s="239">
        <f ca="1">D69/$E$18</f>
        <v>7.8479273815167909</v>
      </c>
      <c r="E84" s="112"/>
      <c r="F84" s="112"/>
    </row>
    <row r="86" spans="2:17" x14ac:dyDescent="0.25">
      <c r="B86" s="62" t="s">
        <v>121</v>
      </c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</row>
    <row r="87" spans="2:17" x14ac:dyDescent="0.25">
      <c r="B87" s="72"/>
    </row>
    <row r="88" spans="2:17" ht="17.25" customHeight="1" x14ac:dyDescent="0.4">
      <c r="B88" s="113"/>
      <c r="C88" s="72"/>
      <c r="D88" s="114" t="s">
        <v>115</v>
      </c>
      <c r="E88" s="65"/>
      <c r="F88" s="65"/>
      <c r="G88" s="65"/>
      <c r="H88" s="65"/>
      <c r="I88" s="65"/>
      <c r="J88" s="115"/>
      <c r="L88" s="114" t="s">
        <v>122</v>
      </c>
      <c r="M88" s="65"/>
      <c r="N88" s="65"/>
      <c r="O88" s="65"/>
      <c r="P88" s="65"/>
      <c r="Q88" s="65"/>
    </row>
    <row r="89" spans="2:17" ht="15" customHeight="1" x14ac:dyDescent="0.25">
      <c r="B89" s="113"/>
      <c r="D89" s="93"/>
      <c r="E89" s="116" t="s">
        <v>123</v>
      </c>
      <c r="F89" s="116"/>
      <c r="G89" s="116"/>
      <c r="H89" s="116"/>
      <c r="I89" s="116"/>
      <c r="J89" s="117"/>
      <c r="L89" s="116" t="s">
        <v>123</v>
      </c>
      <c r="M89" s="116"/>
      <c r="N89" s="116"/>
      <c r="O89" s="116"/>
      <c r="P89" s="116"/>
      <c r="Q89" s="116"/>
    </row>
    <row r="90" spans="2:17" ht="15" customHeight="1" x14ac:dyDescent="0.25">
      <c r="B90" s="113"/>
      <c r="C90" s="118"/>
      <c r="D90" s="160">
        <f ca="1">C73</f>
        <v>29.428046880621103</v>
      </c>
      <c r="E90" s="195">
        <f>F90-0.005</f>
        <v>0.09</v>
      </c>
      <c r="F90" s="196">
        <f>G90-0.005</f>
        <v>9.5000000000000001E-2</v>
      </c>
      <c r="G90" s="119">
        <f>$C$42</f>
        <v>0.1</v>
      </c>
      <c r="H90" s="196">
        <f>G90+0.005</f>
        <v>0.10500000000000001</v>
      </c>
      <c r="I90" s="220">
        <f>H90+0.005</f>
        <v>0.11000000000000001</v>
      </c>
      <c r="K90" s="123"/>
      <c r="L90" s="120">
        <f ca="1">C78</f>
        <v>5.4625131136453344</v>
      </c>
      <c r="M90" s="195">
        <f>N90-0.005</f>
        <v>0.09</v>
      </c>
      <c r="N90" s="196">
        <f>O90-0.005</f>
        <v>9.5000000000000001E-2</v>
      </c>
      <c r="O90" s="119">
        <f>$C$42</f>
        <v>0.1</v>
      </c>
      <c r="P90" s="196">
        <f>O90+0.005</f>
        <v>0.10500000000000001</v>
      </c>
      <c r="Q90" s="220">
        <f>P90+0.005</f>
        <v>0.11000000000000001</v>
      </c>
    </row>
    <row r="91" spans="2:17" ht="15" customHeight="1" x14ac:dyDescent="0.25">
      <c r="B91" s="113"/>
      <c r="D91" s="193">
        <f>D92+0.01</f>
        <v>0.21536055022620201</v>
      </c>
      <c r="E91" s="121">
        <f t="dataTable" ref="E91:I95" dt2D="1" dtr="1" r1="C42" r2="H4" ca="1"/>
        <v>22.557251576424704</v>
      </c>
      <c r="F91" s="121">
        <v>21.891652181071631</v>
      </c>
      <c r="G91" s="121">
        <v>21.891652181071631</v>
      </c>
      <c r="H91" s="121">
        <v>22.557251576424704</v>
      </c>
      <c r="I91" s="121">
        <v>24.06154231079303</v>
      </c>
      <c r="J91" s="122"/>
      <c r="L91" s="193">
        <f>L92+0.01</f>
        <v>0.21536055022620201</v>
      </c>
      <c r="M91" s="123">
        <f t="dataTable" ref="M91:Q95" dt2D="1" dtr="1" r1="C42" r2="H4" ca="1"/>
        <v>4.2830111684741157</v>
      </c>
      <c r="N91" s="123">
        <v>4.1687484453444883</v>
      </c>
      <c r="O91" s="123">
        <v>4.1687484453444883</v>
      </c>
      <c r="P91" s="123">
        <v>4.2830111684741157</v>
      </c>
      <c r="Q91" s="123">
        <v>4.5412511201441657</v>
      </c>
    </row>
    <row r="92" spans="2:17" ht="15" customHeight="1" x14ac:dyDescent="0.25">
      <c r="B92" s="113"/>
      <c r="D92" s="193">
        <f>D93+0.01</f>
        <v>0.205360550226202</v>
      </c>
      <c r="E92" s="121">
        <v>24.655111693476258</v>
      </c>
      <c r="F92" s="121">
        <v>23.851779133974041</v>
      </c>
      <c r="G92" s="121">
        <v>23.851779133974041</v>
      </c>
      <c r="H92" s="121">
        <v>24.655111693476258</v>
      </c>
      <c r="I92" s="121">
        <v>26.490514957197327</v>
      </c>
      <c r="J92" s="122"/>
      <c r="L92" s="193">
        <f>L93+0.01</f>
        <v>0.205360550226202</v>
      </c>
      <c r="M92" s="123">
        <v>4.6431485294646473</v>
      </c>
      <c r="N92" s="123">
        <v>4.5052413040851453</v>
      </c>
      <c r="O92" s="123">
        <v>4.5052413040851453</v>
      </c>
      <c r="P92" s="123">
        <v>4.6431485294646473</v>
      </c>
      <c r="Q92" s="123">
        <v>4.9582302083512815</v>
      </c>
    </row>
    <row r="93" spans="2:17" ht="15" customHeight="1" x14ac:dyDescent="0.25">
      <c r="B93" s="113"/>
      <c r="C93" s="118" t="s">
        <v>124</v>
      </c>
      <c r="D93" s="124">
        <f>WACC!$E$21</f>
        <v>0.195360550226202</v>
      </c>
      <c r="E93" s="121">
        <v>27.150706865490555</v>
      </c>
      <c r="F93" s="121">
        <v>26.1668027600386</v>
      </c>
      <c r="G93" s="121">
        <v>26.1668027600386</v>
      </c>
      <c r="H93" s="121">
        <v>27.150706865490555</v>
      </c>
      <c r="I93" s="121">
        <v>29.428046880621103</v>
      </c>
      <c r="J93" s="122"/>
      <c r="K93" s="118" t="s">
        <v>124</v>
      </c>
      <c r="L93" s="124">
        <f>WACC!$E$21</f>
        <v>0.195360550226202</v>
      </c>
      <c r="M93" s="123">
        <v>5.0715646340679914</v>
      </c>
      <c r="N93" s="123">
        <v>4.9026588881008921</v>
      </c>
      <c r="O93" s="123">
        <v>4.9026588881008921</v>
      </c>
      <c r="P93" s="123">
        <v>5.0715646340679914</v>
      </c>
      <c r="Q93" s="123">
        <v>5.4625131136453344</v>
      </c>
    </row>
    <row r="94" spans="2:17" ht="15" customHeight="1" x14ac:dyDescent="0.25">
      <c r="B94" s="113"/>
      <c r="D94" s="193">
        <f t="shared" ref="D94:D95" si="15">D93-0.01</f>
        <v>0.18536055022620199</v>
      </c>
      <c r="E94" s="121">
        <v>30.169145763722042</v>
      </c>
      <c r="F94" s="121">
        <v>28.942799363721093</v>
      </c>
      <c r="G94" s="121">
        <v>28.942799363721093</v>
      </c>
      <c r="H94" s="121">
        <v>30.169145763722042</v>
      </c>
      <c r="I94" s="121">
        <v>33.05283850342132</v>
      </c>
      <c r="J94" s="122"/>
      <c r="L94" s="193">
        <f t="shared" ref="L94:L95" si="16">L93-0.01</f>
        <v>0.18536055022620199</v>
      </c>
      <c r="M94" s="123">
        <v>5.5897367515912784</v>
      </c>
      <c r="N94" s="123">
        <v>5.3792112010234439</v>
      </c>
      <c r="O94" s="123">
        <v>5.3792112010234439</v>
      </c>
      <c r="P94" s="123">
        <v>5.5897367515912784</v>
      </c>
      <c r="Q94" s="123">
        <v>6.0847771428650557</v>
      </c>
    </row>
    <row r="95" spans="2:17" ht="15" customHeight="1" x14ac:dyDescent="0.25">
      <c r="B95" s="125" t="s">
        <v>125</v>
      </c>
      <c r="D95" s="194">
        <f t="shared" si="15"/>
        <v>0.17536055022620198</v>
      </c>
      <c r="E95" s="121">
        <v>33.894162137714915</v>
      </c>
      <c r="F95" s="121">
        <v>32.332801612934404</v>
      </c>
      <c r="G95" s="121">
        <v>32.332801612934404</v>
      </c>
      <c r="H95" s="121">
        <v>33.894162137714915</v>
      </c>
      <c r="I95" s="121">
        <v>37.63843936756944</v>
      </c>
      <c r="J95" s="122"/>
      <c r="L95" s="194">
        <f t="shared" si="16"/>
        <v>0.17536055022620198</v>
      </c>
      <c r="M95" s="123">
        <v>6.2292062546684202</v>
      </c>
      <c r="N95" s="123">
        <v>5.9611691942472822</v>
      </c>
      <c r="O95" s="123">
        <v>5.9611691942472822</v>
      </c>
      <c r="P95" s="123">
        <v>6.2292062546684202</v>
      </c>
      <c r="Q95" s="123">
        <v>6.8719822478895214</v>
      </c>
    </row>
    <row r="96" spans="2:17" ht="15" customHeight="1" x14ac:dyDescent="0.25">
      <c r="B96" s="125" t="s">
        <v>126</v>
      </c>
      <c r="E96" s="126"/>
      <c r="F96" s="126"/>
      <c r="G96" s="126"/>
      <c r="H96" s="126"/>
      <c r="I96" s="126"/>
      <c r="J96" s="126"/>
    </row>
    <row r="97" spans="2:17" ht="17.25" customHeight="1" x14ac:dyDescent="0.4">
      <c r="B97" s="113"/>
      <c r="D97" s="114" t="s">
        <v>115</v>
      </c>
      <c r="E97" s="65"/>
      <c r="F97" s="65"/>
      <c r="G97" s="65"/>
      <c r="H97" s="65"/>
      <c r="I97" s="65"/>
      <c r="J97" s="115"/>
      <c r="L97" s="114" t="s">
        <v>122</v>
      </c>
      <c r="M97" s="65"/>
      <c r="N97" s="65"/>
      <c r="O97" s="65"/>
      <c r="P97" s="65"/>
      <c r="Q97" s="65"/>
    </row>
    <row r="98" spans="2:17" ht="15" customHeight="1" x14ac:dyDescent="0.25">
      <c r="B98" s="113"/>
      <c r="E98" s="116" t="s">
        <v>127</v>
      </c>
      <c r="F98" s="116"/>
      <c r="G98" s="116"/>
      <c r="H98" s="116"/>
      <c r="I98" s="116"/>
      <c r="J98" s="117"/>
      <c r="M98" s="116" t="s">
        <v>127</v>
      </c>
      <c r="N98" s="116"/>
      <c r="O98" s="116"/>
      <c r="P98" s="116"/>
      <c r="Q98" s="116"/>
    </row>
    <row r="99" spans="2:17" ht="15" customHeight="1" x14ac:dyDescent="0.25">
      <c r="B99" s="113"/>
      <c r="D99" s="161">
        <f ca="1">D73</f>
        <v>30.032568705425408</v>
      </c>
      <c r="E99" s="162">
        <f>+F99-0.5</f>
        <v>4.9000000000000004</v>
      </c>
      <c r="F99" s="162">
        <f>+G99-0.5</f>
        <v>5.4</v>
      </c>
      <c r="G99" s="127">
        <f>$I$43</f>
        <v>5.9</v>
      </c>
      <c r="H99" s="162">
        <f>+G99+0.5</f>
        <v>6.4</v>
      </c>
      <c r="I99" s="222">
        <f>+H99+0.5</f>
        <v>6.9</v>
      </c>
      <c r="J99" s="221"/>
      <c r="L99" s="120">
        <f ca="1">D78</f>
        <v>5.5662907167737004</v>
      </c>
      <c r="M99" s="162">
        <f>+N99-0.5</f>
        <v>4.9000000000000004</v>
      </c>
      <c r="N99" s="162">
        <f>+O99-0.5</f>
        <v>5.4</v>
      </c>
      <c r="O99" s="127">
        <f>$I$43</f>
        <v>5.9</v>
      </c>
      <c r="P99" s="162">
        <f>+O99+0.5</f>
        <v>6.4</v>
      </c>
      <c r="Q99" s="222">
        <f>+P99+0.5</f>
        <v>6.9</v>
      </c>
    </row>
    <row r="100" spans="2:17" ht="15" customHeight="1" x14ac:dyDescent="0.25">
      <c r="B100" s="113"/>
      <c r="D100" s="193">
        <f>D101+0.01</f>
        <v>0.21536055022620201</v>
      </c>
      <c r="E100" s="121">
        <f t="dataTable" ref="E100:I104" dt2D="1" dtr="1" r1="I43" r2="H4" ca="1"/>
        <v>24.6111015985988</v>
      </c>
      <c r="F100" s="121">
        <v>22.813401148838391</v>
      </c>
      <c r="G100" s="121">
        <v>22.813401148838391</v>
      </c>
      <c r="H100" s="121">
        <v>24.6111015985988</v>
      </c>
      <c r="I100" s="121">
        <v>28.206502498119626</v>
      </c>
      <c r="J100" s="122"/>
      <c r="L100" s="193">
        <f>L101+0.01</f>
        <v>0.21536055022620201</v>
      </c>
      <c r="M100" s="123">
        <f t="dataTable" ref="M100:Q104" dt2D="1" dtr="1" r1="I43" r2="H4" ca="1"/>
        <v>4.6355933644194272</v>
      </c>
      <c r="N100" s="123">
        <v>4.3269840865338622</v>
      </c>
      <c r="O100" s="123">
        <v>4.3269840865338622</v>
      </c>
      <c r="P100" s="123">
        <v>4.6355933644194272</v>
      </c>
      <c r="Q100" s="123">
        <v>5.252811920190557</v>
      </c>
    </row>
    <row r="101" spans="2:17" ht="15" customHeight="1" x14ac:dyDescent="0.25">
      <c r="B101" s="113"/>
      <c r="D101" s="193">
        <f>D102+0.01</f>
        <v>0.205360550226202</v>
      </c>
      <c r="E101" s="121">
        <v>25.38376826964263</v>
      </c>
      <c r="F101" s="121">
        <v>23.525012419599797</v>
      </c>
      <c r="G101" s="121">
        <v>23.525012419599797</v>
      </c>
      <c r="H101" s="121">
        <v>25.38376826964263</v>
      </c>
      <c r="I101" s="121">
        <v>29.101279969728296</v>
      </c>
      <c r="J101" s="122"/>
      <c r="L101" s="193">
        <f>L102+0.01</f>
        <v>0.205360550226202</v>
      </c>
      <c r="M101" s="123">
        <v>4.7682362101331597</v>
      </c>
      <c r="N101" s="123">
        <v>4.4491456181918059</v>
      </c>
      <c r="O101" s="123">
        <v>4.4491456181918059</v>
      </c>
      <c r="P101" s="123">
        <v>4.7682362101331597</v>
      </c>
      <c r="Q101" s="123">
        <v>5.4064173940158673</v>
      </c>
    </row>
    <row r="102" spans="2:17" ht="15" customHeight="1" x14ac:dyDescent="0.25">
      <c r="B102" s="113"/>
      <c r="C102" s="118" t="s">
        <v>124</v>
      </c>
      <c r="D102" s="124">
        <f>WACC!$E$21</f>
        <v>0.195360550226202</v>
      </c>
      <c r="E102" s="121">
        <v>26.187729290396366</v>
      </c>
      <c r="F102" s="121">
        <v>24.265309582881848</v>
      </c>
      <c r="G102" s="121">
        <v>24.265309582881848</v>
      </c>
      <c r="H102" s="121">
        <v>26.187729290396366</v>
      </c>
      <c r="I102" s="121">
        <v>30.032568705425408</v>
      </c>
      <c r="J102" s="122"/>
      <c r="K102" s="118" t="s">
        <v>124</v>
      </c>
      <c r="L102" s="124">
        <f>WACC!$E$21</f>
        <v>0.195360550226202</v>
      </c>
      <c r="M102" s="123">
        <v>4.9062513227710971</v>
      </c>
      <c r="N102" s="123">
        <v>4.576231625769795</v>
      </c>
      <c r="O102" s="123">
        <v>4.576231625769795</v>
      </c>
      <c r="P102" s="123">
        <v>4.9062513227710971</v>
      </c>
      <c r="Q102" s="123">
        <v>5.5662907167737004</v>
      </c>
    </row>
    <row r="103" spans="2:17" ht="15" customHeight="1" x14ac:dyDescent="0.25">
      <c r="B103" s="113"/>
      <c r="D103" s="193">
        <f t="shared" ref="D103:D104" si="17">D102-0.01</f>
        <v>0.18536055022620199</v>
      </c>
      <c r="E103" s="121">
        <v>27.024557822399718</v>
      </c>
      <c r="F103" s="121">
        <v>25.035731120621495</v>
      </c>
      <c r="G103" s="121">
        <v>25.035731120621495</v>
      </c>
      <c r="H103" s="121">
        <v>27.024557822399718</v>
      </c>
      <c r="I103" s="121">
        <v>31.00221122595617</v>
      </c>
      <c r="J103" s="122"/>
      <c r="L103" s="193">
        <f t="shared" ref="L103:L104" si="18">L102-0.01</f>
        <v>0.18536055022620199</v>
      </c>
      <c r="M103" s="123">
        <v>5.0499087652610344</v>
      </c>
      <c r="N103" s="123">
        <v>4.7084890518949356</v>
      </c>
      <c r="O103" s="123">
        <v>4.7084890518949356</v>
      </c>
      <c r="P103" s="123">
        <v>5.0499087652610344</v>
      </c>
      <c r="Q103" s="123">
        <v>5.7327481919932328</v>
      </c>
    </row>
    <row r="104" spans="2:17" ht="15" customHeight="1" x14ac:dyDescent="0.25">
      <c r="B104" s="113"/>
      <c r="D104" s="194">
        <f t="shared" si="17"/>
        <v>0.17536055022620198</v>
      </c>
      <c r="E104" s="121">
        <v>27.895920988327077</v>
      </c>
      <c r="F104" s="121">
        <v>25.837801301615581</v>
      </c>
      <c r="G104" s="121">
        <v>25.837801301615581</v>
      </c>
      <c r="H104" s="121">
        <v>27.895920988327077</v>
      </c>
      <c r="I104" s="121">
        <v>32.012160361750077</v>
      </c>
      <c r="J104" s="122"/>
      <c r="L104" s="194">
        <f t="shared" si="18"/>
        <v>0.17536055022620198</v>
      </c>
      <c r="M104" s="123">
        <v>5.199494730736407</v>
      </c>
      <c r="N104" s="123">
        <v>4.8461795661311191</v>
      </c>
      <c r="O104" s="123">
        <v>4.8461795661311191</v>
      </c>
      <c r="P104" s="123">
        <v>5.199494730736407</v>
      </c>
      <c r="Q104" s="123">
        <v>5.9061250599469837</v>
      </c>
    </row>
    <row r="105" spans="2:17" x14ac:dyDescent="0.25">
      <c r="J105" s="128"/>
    </row>
    <row r="106" spans="2:17" x14ac:dyDescent="0.25">
      <c r="B106" s="129" t="s">
        <v>128</v>
      </c>
      <c r="C106" s="129"/>
      <c r="D106" s="129"/>
      <c r="E106" s="129"/>
      <c r="G106" s="129" t="s">
        <v>129</v>
      </c>
      <c r="H106" s="129"/>
      <c r="I106" s="129"/>
      <c r="J106" s="130"/>
      <c r="K106" s="129"/>
      <c r="L106" s="129"/>
      <c r="M106" s="129"/>
      <c r="N106" s="129"/>
      <c r="O106" s="129"/>
      <c r="P106" s="129"/>
    </row>
    <row r="107" spans="2:17" x14ac:dyDescent="0.25">
      <c r="J107" s="128"/>
    </row>
    <row r="108" spans="2:17" x14ac:dyDescent="0.25">
      <c r="J108" s="128"/>
    </row>
    <row r="109" spans="2:17" x14ac:dyDescent="0.25">
      <c r="J109" s="128"/>
    </row>
    <row r="110" spans="2:17" x14ac:dyDescent="0.25">
      <c r="J110" s="128"/>
    </row>
    <row r="111" spans="2:17" x14ac:dyDescent="0.25">
      <c r="J111" s="128"/>
    </row>
    <row r="112" spans="2:17" x14ac:dyDescent="0.25">
      <c r="J112" s="128"/>
    </row>
    <row r="113" spans="2:17" x14ac:dyDescent="0.25">
      <c r="J113" s="128"/>
    </row>
    <row r="114" spans="2:17" x14ac:dyDescent="0.25">
      <c r="J114" s="128"/>
    </row>
    <row r="115" spans="2:17" x14ac:dyDescent="0.25">
      <c r="J115" s="128"/>
    </row>
    <row r="116" spans="2:17" x14ac:dyDescent="0.25">
      <c r="J116" s="128"/>
    </row>
    <row r="117" spans="2:17" x14ac:dyDescent="0.25">
      <c r="J117" s="128"/>
    </row>
    <row r="118" spans="2:17" x14ac:dyDescent="0.25">
      <c r="J118" s="128"/>
    </row>
    <row r="119" spans="2:17" x14ac:dyDescent="0.25">
      <c r="J119" s="128"/>
    </row>
    <row r="120" spans="2:17" x14ac:dyDescent="0.25">
      <c r="J120" s="128"/>
      <c r="M120" s="131"/>
    </row>
    <row r="121" spans="2:17" x14ac:dyDescent="0.25">
      <c r="J121" s="128"/>
    </row>
    <row r="122" spans="2:17" x14ac:dyDescent="0.25">
      <c r="J122" s="128"/>
    </row>
    <row r="123" spans="2:17" x14ac:dyDescent="0.25">
      <c r="J123" s="128"/>
    </row>
    <row r="124" spans="2:17" x14ac:dyDescent="0.25">
      <c r="J124" s="128"/>
    </row>
    <row r="125" spans="2:17" x14ac:dyDescent="0.25">
      <c r="J125" s="128"/>
    </row>
    <row r="126" spans="2:17" x14ac:dyDescent="0.25">
      <c r="J126" s="128"/>
    </row>
    <row r="127" spans="2:17" x14ac:dyDescent="0.25">
      <c r="B127" s="132"/>
      <c r="C127" s="133" t="s">
        <v>130</v>
      </c>
      <c r="D127" s="133" t="s">
        <v>131</v>
      </c>
      <c r="E127" s="134" t="s">
        <v>132</v>
      </c>
      <c r="G127" s="132"/>
      <c r="H127" s="135"/>
      <c r="I127" s="135"/>
      <c r="J127" s="136"/>
      <c r="K127" s="135"/>
      <c r="L127" s="135"/>
      <c r="M127" s="135"/>
      <c r="N127" s="135"/>
      <c r="O127" s="133" t="s">
        <v>130</v>
      </c>
      <c r="P127" s="133" t="s">
        <v>131</v>
      </c>
      <c r="Q127" s="134" t="s">
        <v>132</v>
      </c>
    </row>
    <row r="128" spans="2:17" x14ac:dyDescent="0.25">
      <c r="B128" s="163" t="str">
        <f>"DCF Value at "&amp;TEXT(E99,"0.0x")&amp;"-"&amp;TEXT(I99,"0.0x")&amp;" Exit EBITDA Range at "&amp;TEXT(D102,"0.0%")&amp;" WACC"</f>
        <v>DCF Value at 4.9x-6.9x Exit EBITDA Range at 19.5% WACC</v>
      </c>
      <c r="C128" s="164">
        <f>E102</f>
        <v>26.187729290396366</v>
      </c>
      <c r="D128" s="164">
        <f>E128-C128</f>
        <v>3.8448394150290426</v>
      </c>
      <c r="E128" s="165">
        <f>I102</f>
        <v>30.032568705425408</v>
      </c>
      <c r="G128" s="163" t="str">
        <f>"LTM EBITDA Purchase Multiple at "&amp;TEXT(M90,"0.0%")&amp;"-"&amp;TEXT(Q90,"0.0%")&amp;" Perpetuity Growth at "&amp;TEXT(L93,"0.0%")&amp;" WACC"</f>
        <v>LTM EBITDA Purchase Multiple at 9.0%-11.0% Perpetuity Growth at 19.5% WACC</v>
      </c>
      <c r="H128"/>
      <c r="I128"/>
      <c r="J128" s="171"/>
      <c r="K128"/>
      <c r="L128"/>
      <c r="M128"/>
      <c r="N128"/>
      <c r="O128" s="172">
        <f>M93</f>
        <v>5.0715646340679914</v>
      </c>
      <c r="P128" s="172">
        <f>Q128-O128</f>
        <v>0.39094847957734302</v>
      </c>
      <c r="Q128" s="173">
        <f>Q93</f>
        <v>5.4625131136453344</v>
      </c>
    </row>
    <row r="129" spans="2:17" x14ac:dyDescent="0.25">
      <c r="B129" s="166" t="str">
        <f>"DCF Value at "&amp;TEXT(E90,"0.0%")&amp;"-"&amp;TEXT(I90,"0.0%")&amp;" Perpetuity Range at "&amp;TEXT(D102,"0.0%")&amp;" WACC"</f>
        <v>DCF Value at 9.0%-11.0% Perpetuity Range at 19.5% WACC</v>
      </c>
      <c r="C129" s="164">
        <f>E93</f>
        <v>27.150706865490555</v>
      </c>
      <c r="D129" s="164">
        <f>E129-C129</f>
        <v>2.2773400151305481</v>
      </c>
      <c r="E129" s="165">
        <f>I93</f>
        <v>29.428046880621103</v>
      </c>
      <c r="G129" s="166" t="str">
        <f>"LTM EBITDA Purchase Multiple at "&amp;TEXT(M102,"0.0x")&amp;"-"&amp;TEXT(Q102,"0.0x")&amp;" Exit EBITDA Multiple at "&amp;TEXT(L102,"0.0%")&amp;" WACC"</f>
        <v>LTM EBITDA Purchase Multiple at 4.9x-5.6x Exit EBITDA Multiple at 19.5% WACC</v>
      </c>
      <c r="H129"/>
      <c r="I129"/>
      <c r="J129" s="171"/>
      <c r="K129"/>
      <c r="L129"/>
      <c r="M129"/>
      <c r="N129"/>
      <c r="O129" s="172">
        <f>M102</f>
        <v>4.9062513227710971</v>
      </c>
      <c r="P129" s="172">
        <f>Q129-O129</f>
        <v>0.66003939400260325</v>
      </c>
      <c r="Q129" s="173">
        <f>Q102</f>
        <v>5.5662907167737004</v>
      </c>
    </row>
    <row r="130" spans="2:17" x14ac:dyDescent="0.25">
      <c r="B130" s="167" t="s">
        <v>133</v>
      </c>
      <c r="C130" s="168">
        <v>20.3</v>
      </c>
      <c r="D130" s="169">
        <f>E130-C130</f>
        <v>4.8099999999999987</v>
      </c>
      <c r="E130" s="170">
        <v>25.11</v>
      </c>
      <c r="G130" s="167" t="str">
        <f>"LTM EBITDA Purchase Multiple at "&amp;TEXT(L104,"0.0%")&amp;"-"&amp;TEXT(L100,"0.0%")&amp;" WACC at "&amp;TEXT(O99,"0.0x")&amp;" Exit EBITDA"</f>
        <v>LTM EBITDA Purchase Multiple at 17.5%-21.5% WACC at 5.9x Exit EBITDA</v>
      </c>
      <c r="H130" s="40"/>
      <c r="I130" s="40"/>
      <c r="J130" s="174"/>
      <c r="K130" s="40"/>
      <c r="L130" s="40"/>
      <c r="M130" s="40"/>
      <c r="N130" s="40"/>
      <c r="O130" s="169">
        <f>O100</f>
        <v>4.3269840865338622</v>
      </c>
      <c r="P130" s="169">
        <f>Q130-O130</f>
        <v>0.51919547959725687</v>
      </c>
      <c r="Q130" s="175">
        <f>O104</f>
        <v>4.8461795661311191</v>
      </c>
    </row>
    <row r="131" spans="2:17" x14ac:dyDescent="0.25">
      <c r="J131" s="128"/>
    </row>
    <row r="132" spans="2:17" x14ac:dyDescent="0.25">
      <c r="J132" s="128"/>
    </row>
  </sheetData>
  <conditionalFormatting sqref="E91:J95 E100:J104">
    <cfRule type="cellIs" dxfId="1" priority="2" operator="lessThan">
      <formula>#REF!</formula>
    </cfRule>
  </conditionalFormatting>
  <dataValidations count="1">
    <dataValidation type="list" allowBlank="1" showInputMessage="1" showErrorMessage="1" sqref="H9" xr:uid="{CB45C56C-AFB1-4E43-A477-1FC1C59EBD22}">
      <formula1>"0,1"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4E94-4BEA-4BEC-A3D4-AE92824096F5}">
  <dimension ref="B1:I24"/>
  <sheetViews>
    <sheetView zoomScaleNormal="100" workbookViewId="0">
      <selection activeCell="E21" sqref="E21"/>
    </sheetView>
  </sheetViews>
  <sheetFormatPr defaultColWidth="9.140625" defaultRowHeight="15" x14ac:dyDescent="0.25"/>
  <cols>
    <col min="1" max="1" width="1.42578125" style="51" customWidth="1"/>
    <col min="2" max="2" width="50.28515625" style="51" customWidth="1"/>
    <col min="3" max="3" width="15.5703125" style="51" bestFit="1" customWidth="1"/>
    <col min="4" max="9" width="12.7109375" style="51" customWidth="1"/>
    <col min="10" max="10" width="1.7109375" style="51" customWidth="1"/>
    <col min="11" max="11" width="11" style="51" bestFit="1" customWidth="1"/>
    <col min="12" max="16" width="9.42578125" style="51" customWidth="1"/>
    <col min="17" max="16384" width="9.140625" style="51"/>
  </cols>
  <sheetData>
    <row r="1" spans="2:9" ht="15.75" thickBot="1" x14ac:dyDescent="0.3"/>
    <row r="2" spans="2:9" ht="15.75" thickBot="1" x14ac:dyDescent="0.3">
      <c r="B2" s="52" t="s">
        <v>134</v>
      </c>
      <c r="C2" s="53"/>
      <c r="D2" s="53"/>
      <c r="E2" s="53"/>
      <c r="F2" s="53"/>
      <c r="G2" s="53"/>
      <c r="H2" s="53"/>
      <c r="I2" s="53"/>
    </row>
    <row r="3" spans="2:9" x14ac:dyDescent="0.25">
      <c r="B3" s="54" t="str">
        <f>DCF!B3</f>
        <v>All amounts are shown in EGP, except per-share data, ratios, and shares outstanding</v>
      </c>
    </row>
    <row r="4" spans="2:9" ht="15" customHeight="1" x14ac:dyDescent="0.25">
      <c r="B4" s="138" t="s">
        <v>135</v>
      </c>
      <c r="C4" s="139"/>
      <c r="D4" s="139"/>
      <c r="E4" s="140"/>
      <c r="F4" s="141"/>
    </row>
    <row r="5" spans="2:9" x14ac:dyDescent="0.25">
      <c r="E5" s="94"/>
    </row>
    <row r="6" spans="2:9" ht="15" customHeight="1" x14ac:dyDescent="0.25">
      <c r="B6" s="51" t="s">
        <v>136</v>
      </c>
      <c r="C6" s="280">
        <f>C10+2%</f>
        <v>0.21582599999999999</v>
      </c>
      <c r="D6" s="281"/>
    </row>
    <row r="7" spans="2:9" ht="15" customHeight="1" x14ac:dyDescent="0.25">
      <c r="B7" s="51" t="s">
        <v>26</v>
      </c>
      <c r="C7" s="269">
        <v>0.22500000000000001</v>
      </c>
    </row>
    <row r="8" spans="2:9" ht="15" customHeight="1" x14ac:dyDescent="0.25">
      <c r="B8" s="51" t="s">
        <v>137</v>
      </c>
      <c r="C8" s="144">
        <f>C6*(1-C7)</f>
        <v>0.16726515</v>
      </c>
    </row>
    <row r="10" spans="2:9" x14ac:dyDescent="0.25">
      <c r="B10" s="51" t="s">
        <v>138</v>
      </c>
      <c r="C10" s="278">
        <v>0.195826</v>
      </c>
      <c r="D10" s="208"/>
    </row>
    <row r="11" spans="2:9" x14ac:dyDescent="0.25">
      <c r="B11" s="51" t="s">
        <v>139</v>
      </c>
      <c r="C11" s="157">
        <f>(2/3*-0.04)+1/3</f>
        <v>0.30666666666666664</v>
      </c>
    </row>
    <row r="12" spans="2:9" ht="15" customHeight="1" x14ac:dyDescent="0.25">
      <c r="B12" s="51" t="s">
        <v>140</v>
      </c>
      <c r="C12" s="145">
        <f>13.94%-9.71%</f>
        <v>4.229999999999999E-2</v>
      </c>
      <c r="D12" s="208"/>
    </row>
    <row r="13" spans="2:9" x14ac:dyDescent="0.25">
      <c r="B13" s="51" t="s">
        <v>141</v>
      </c>
      <c r="C13" s="146">
        <f>C10+C11*C12</f>
        <v>0.20879799999999998</v>
      </c>
      <c r="D13" s="270"/>
    </row>
    <row r="14" spans="2:9" x14ac:dyDescent="0.25">
      <c r="C14" s="147"/>
    </row>
    <row r="15" spans="2:9" x14ac:dyDescent="0.25">
      <c r="B15" s="142" t="s">
        <v>142</v>
      </c>
      <c r="C15" s="148"/>
      <c r="D15" s="148"/>
      <c r="E15" s="148"/>
    </row>
    <row r="16" spans="2:9" x14ac:dyDescent="0.25">
      <c r="B16" s="72"/>
      <c r="C16" s="118"/>
      <c r="D16" s="118" t="s">
        <v>143</v>
      </c>
    </row>
    <row r="17" spans="2:5" ht="17.25" x14ac:dyDescent="0.4">
      <c r="C17" s="149" t="s">
        <v>144</v>
      </c>
      <c r="D17" s="149" t="s">
        <v>145</v>
      </c>
      <c r="E17" s="149" t="s">
        <v>146</v>
      </c>
    </row>
    <row r="18" spans="2:5" x14ac:dyDescent="0.25">
      <c r="B18" s="51" t="s">
        <v>15</v>
      </c>
      <c r="C18" s="70">
        <f>DCF!H5*DCF!I61</f>
        <v>15616718652.639999</v>
      </c>
      <c r="D18" s="150"/>
      <c r="E18" s="151">
        <f>C18/(C18+C19)</f>
        <v>0.67646213120943999</v>
      </c>
    </row>
    <row r="19" spans="2:5" x14ac:dyDescent="0.25">
      <c r="B19" s="51" t="s">
        <v>100</v>
      </c>
      <c r="C19" s="70">
        <f>DCF!C57</f>
        <v>7469154055</v>
      </c>
      <c r="D19" s="152"/>
      <c r="E19" s="151">
        <f>C19/(C18+C19)</f>
        <v>0.32353786879056001</v>
      </c>
    </row>
    <row r="21" spans="2:5" x14ac:dyDescent="0.25">
      <c r="B21" s="143" t="s">
        <v>147</v>
      </c>
      <c r="C21" s="153"/>
      <c r="D21" s="135"/>
      <c r="E21" s="154">
        <f>C13*E18+C8*E19</f>
        <v>0.195360550226202</v>
      </c>
    </row>
    <row r="22" spans="2:5" x14ac:dyDescent="0.25">
      <c r="B22" s="71"/>
      <c r="C22" s="99"/>
    </row>
    <row r="23" spans="2:5" x14ac:dyDescent="0.25">
      <c r="B23" s="71"/>
      <c r="C23" s="99"/>
    </row>
    <row r="24" spans="2:5" x14ac:dyDescent="0.25">
      <c r="B24" s="71"/>
      <c r="C24" s="99"/>
    </row>
  </sheetData>
  <conditionalFormatting sqref="B22:C24">
    <cfRule type="expression" dxfId="0" priority="1">
      <formula>#REF!="Industry"</formula>
    </cfRule>
  </conditionalFormatting>
  <dataValidations count="1">
    <dataValidation type="list" allowBlank="1" showInputMessage="1" showErrorMessage="1" sqref="C11" xr:uid="{BA86EDE5-7159-4B66-829E-7171B4D698DF}">
      <formula1>"-0.04,=(2/3*-0.04)+1/3"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FSM</vt:lpstr>
      <vt:lpstr>DCF</vt:lpstr>
      <vt:lpstr>WACC</vt:lpstr>
      <vt:lpstr>FSM!Company_Name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WAEL</dc:creator>
  <dc:description/>
  <cp:lastModifiedBy>Ahmed Wael</cp:lastModifiedBy>
  <cp:revision>0</cp:revision>
  <dcterms:created xsi:type="dcterms:W3CDTF">2015-06-05T18:17:20Z</dcterms:created>
  <dcterms:modified xsi:type="dcterms:W3CDTF">2026-06-22T00:21:17Z</dcterms:modified>
  <dc:language>en-US</dc:language>
</cp:coreProperties>
</file>