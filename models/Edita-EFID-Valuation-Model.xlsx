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80236\Desktop\EFID - CA\"/>
    </mc:Choice>
  </mc:AlternateContent>
  <xr:revisionPtr revIDLastSave="0" documentId="13_ncr:1_{829E1788-C3DD-4F79-BC5E-C4B28D19C310}" xr6:coauthVersionLast="47" xr6:coauthVersionMax="47" xr10:uidLastSave="{00000000-0000-0000-0000-000000000000}"/>
  <bookViews>
    <workbookView xWindow="-120" yWindow="-120" windowWidth="20730" windowHeight="11160" tabRatio="500" xr2:uid="{00000000-000D-0000-FFFF-FFFF00000000}"/>
  </bookViews>
  <sheets>
    <sheet name="FSM" sheetId="4" r:id="rId1"/>
    <sheet name="DCF" sheetId="2" r:id="rId2"/>
    <sheet name="WACC" sheetId="3" r:id="rId3"/>
  </sheets>
  <definedNames>
    <definedName name="CIQWBGuid" localSheetId="1" hidden="1">"DCF_complete.xlsx"</definedName>
    <definedName name="CIQWBGuid" localSheetId="2" hidden="1">"DCF_complete.xlsx"</definedName>
    <definedName name="CIQWBGuid" hidden="1">"a611639b-bab1-425e-aaa5-008c326fdfdb"</definedName>
    <definedName name="Company_Name" localSheetId="0">FSM!$D$5</definedName>
    <definedName name="Company_Name">#REF!</definedName>
    <definedName name="Hist_Yr" localSheetId="0">FSM!#REF!</definedName>
    <definedName name="Hist_Yr">#REF!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localSheetId="1" hidden="1">43549.6880671296</definedName>
    <definedName name="IQ_NAMES_REVISION_DATE_" localSheetId="2" hidden="1">43549.6880671296</definedName>
    <definedName name="IQ_NAMES_REVISION_DATE_" hidden="1">43588.5561574074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MLNK841c85bef3244d5c8fb6b3f84988d79e" localSheetId="1" hidden="1">#REF!</definedName>
    <definedName name="MLNK841c85bef3244d5c8fb6b3f84988d79e" localSheetId="2" hidden="1">#REF!</definedName>
    <definedName name="MLNK841c85bef3244d5c8fb6b3f84988d79e" hidden="1">#REF!</definedName>
    <definedName name="MLNKa7775792bf444a4785f8ed5c82461a24" localSheetId="1" hidden="1">#REF!</definedName>
    <definedName name="MLNKa7775792bf444a4785f8ed5c82461a24" localSheetId="2" hidden="1">#REF!</definedName>
    <definedName name="MLNKa7775792bf444a4785f8ed5c82461a24" hidden="1">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2" i="3" l="1"/>
  <c r="C13" i="3" s="1"/>
  <c r="C6" i="3"/>
  <c r="C8" i="3"/>
  <c r="C43" i="2"/>
  <c r="G165" i="4"/>
  <c r="C14" i="2"/>
  <c r="C18" i="2"/>
  <c r="C16" i="2"/>
  <c r="D70" i="2"/>
  <c r="I44" i="2"/>
  <c r="I42" i="2"/>
  <c r="C65" i="2"/>
  <c r="C70" i="2" s="1"/>
  <c r="C19" i="3"/>
  <c r="C64" i="2"/>
  <c r="C63" i="2"/>
  <c r="I61" i="2"/>
  <c r="D72" i="2" s="1"/>
  <c r="C57" i="2"/>
  <c r="C60" i="2"/>
  <c r="C62" i="2"/>
  <c r="I26" i="2"/>
  <c r="H26" i="2"/>
  <c r="G26" i="2"/>
  <c r="F26" i="2"/>
  <c r="I25" i="2"/>
  <c r="H25" i="2"/>
  <c r="G25" i="2"/>
  <c r="F25" i="2"/>
  <c r="E26" i="2"/>
  <c r="I33" i="2"/>
  <c r="H33" i="2"/>
  <c r="G33" i="2"/>
  <c r="F33" i="2"/>
  <c r="E33" i="2"/>
  <c r="D33" i="2"/>
  <c r="I32" i="2"/>
  <c r="H32" i="2"/>
  <c r="G32" i="2"/>
  <c r="F32" i="2"/>
  <c r="E32" i="2"/>
  <c r="D32" i="2"/>
  <c r="E25" i="2"/>
  <c r="I15" i="2"/>
  <c r="H15" i="2"/>
  <c r="G15" i="2"/>
  <c r="F15" i="2"/>
  <c r="E15" i="2"/>
  <c r="H23" i="2"/>
  <c r="I22" i="2"/>
  <c r="H22" i="2"/>
  <c r="G22" i="2"/>
  <c r="F22" i="2"/>
  <c r="E22" i="2"/>
  <c r="I19" i="2"/>
  <c r="H19" i="2"/>
  <c r="G19" i="2"/>
  <c r="I18" i="2"/>
  <c r="I23" i="2" s="1"/>
  <c r="H18" i="2"/>
  <c r="H21" i="2" s="1"/>
  <c r="G18" i="2"/>
  <c r="G23" i="2" s="1"/>
  <c r="F18" i="2"/>
  <c r="F19" i="2" s="1"/>
  <c r="E18" i="2"/>
  <c r="E23" i="2" s="1"/>
  <c r="I17" i="2"/>
  <c r="I16" i="2"/>
  <c r="H16" i="2"/>
  <c r="H17" i="2" s="1"/>
  <c r="G16" i="2"/>
  <c r="G17" i="2" s="1"/>
  <c r="F16" i="2"/>
  <c r="F17" i="2" s="1"/>
  <c r="E16" i="2"/>
  <c r="I14" i="2"/>
  <c r="H14" i="2"/>
  <c r="G14" i="2"/>
  <c r="F14" i="2"/>
  <c r="E14" i="2"/>
  <c r="E17" i="2" s="1"/>
  <c r="C18" i="3" l="1"/>
  <c r="C72" i="2"/>
  <c r="E21" i="2"/>
  <c r="F21" i="2"/>
  <c r="G21" i="2"/>
  <c r="E19" i="2"/>
  <c r="F23" i="2"/>
  <c r="I21" i="2"/>
  <c r="E18" i="3" l="1"/>
  <c r="E19" i="3"/>
  <c r="E21" i="3" l="1"/>
  <c r="D22" i="2" l="1"/>
  <c r="D23" i="2" s="1"/>
  <c r="D21" i="2"/>
  <c r="D19" i="2"/>
  <c r="D17" i="2"/>
  <c r="D18" i="2"/>
  <c r="D16" i="2"/>
  <c r="D14" i="2"/>
  <c r="G221" i="4"/>
  <c r="G222" i="4"/>
  <c r="H222" i="4"/>
  <c r="I222" i="4" s="1"/>
  <c r="J222" i="4" s="1"/>
  <c r="K222" i="4" s="1"/>
  <c r="G223" i="4"/>
  <c r="H223" i="4"/>
  <c r="I223" i="4"/>
  <c r="J223" i="4" s="1"/>
  <c r="K223" i="4" s="1"/>
  <c r="H313" i="4"/>
  <c r="I313" i="4" s="1"/>
  <c r="J313" i="4" s="1"/>
  <c r="K313" i="4" s="1"/>
  <c r="K308" i="4"/>
  <c r="J308" i="4"/>
  <c r="I308" i="4"/>
  <c r="H308" i="4"/>
  <c r="D313" i="4"/>
  <c r="E313" i="4"/>
  <c r="F313" i="4"/>
  <c r="G308" i="4"/>
  <c r="H312" i="4"/>
  <c r="I312" i="4" s="1"/>
  <c r="J312" i="4" s="1"/>
  <c r="K312" i="4" s="1"/>
  <c r="G312" i="4"/>
  <c r="F312" i="4"/>
  <c r="E312" i="4"/>
  <c r="D312" i="4"/>
  <c r="G25" i="4"/>
  <c r="K201" i="4"/>
  <c r="J201" i="4"/>
  <c r="I201" i="4"/>
  <c r="H201" i="4"/>
  <c r="G201" i="4"/>
  <c r="F201" i="4"/>
  <c r="E201" i="4"/>
  <c r="D201" i="4"/>
  <c r="K200" i="4"/>
  <c r="J200" i="4"/>
  <c r="I200" i="4"/>
  <c r="H200" i="4"/>
  <c r="G200" i="4"/>
  <c r="F200" i="4"/>
  <c r="E200" i="4"/>
  <c r="D200" i="4"/>
  <c r="F231" i="4"/>
  <c r="E231" i="4"/>
  <c r="D231" i="4"/>
  <c r="F286" i="4" l="1"/>
  <c r="E286" i="4"/>
  <c r="G151" i="4"/>
  <c r="E86" i="4"/>
  <c r="D86" i="4"/>
  <c r="F86" i="4"/>
  <c r="G86" i="4" s="1"/>
  <c r="H86" i="4" s="1"/>
  <c r="I86" i="4" s="1"/>
  <c r="J86" i="4" s="1"/>
  <c r="K86" i="4" s="1"/>
  <c r="D170" i="4" l="1"/>
  <c r="E170" i="4"/>
  <c r="F170" i="4"/>
  <c r="F310" i="4"/>
  <c r="G307" i="4" s="1"/>
  <c r="E310" i="4"/>
  <c r="F307" i="4" s="1"/>
  <c r="D310" i="4"/>
  <c r="E307" i="4" s="1"/>
  <c r="F297" i="4" l="1"/>
  <c r="G297" i="4" s="1"/>
  <c r="E297" i="4"/>
  <c r="D297" i="4"/>
  <c r="E296" i="4"/>
  <c r="F292" i="4" s="1"/>
  <c r="F300" i="4"/>
  <c r="G300" i="4" s="1"/>
  <c r="H300" i="4" s="1"/>
  <c r="I300" i="4" s="1"/>
  <c r="F301" i="4"/>
  <c r="G301" i="4" s="1"/>
  <c r="E301" i="4"/>
  <c r="E300" i="4"/>
  <c r="F299" i="4"/>
  <c r="E299" i="4"/>
  <c r="D301" i="4"/>
  <c r="D300" i="4"/>
  <c r="D299" i="4"/>
  <c r="G286" i="4"/>
  <c r="H286" i="4" s="1"/>
  <c r="F296" i="4"/>
  <c r="G292" i="4" s="1"/>
  <c r="D296" i="4"/>
  <c r="E292" i="4" s="1"/>
  <c r="G102" i="4"/>
  <c r="H102" i="4" s="1"/>
  <c r="I102" i="4" s="1"/>
  <c r="J102" i="4" s="1"/>
  <c r="K102" i="4" s="1"/>
  <c r="G101" i="4"/>
  <c r="H101" i="4" s="1"/>
  <c r="I101" i="4" s="1"/>
  <c r="J101" i="4" s="1"/>
  <c r="K101" i="4" s="1"/>
  <c r="G100" i="4"/>
  <c r="H100" i="4" s="1"/>
  <c r="I100" i="4" s="1"/>
  <c r="J100" i="4" s="1"/>
  <c r="K100" i="4" s="1"/>
  <c r="G99" i="4"/>
  <c r="H99" i="4" s="1"/>
  <c r="I99" i="4" s="1"/>
  <c r="J99" i="4" s="1"/>
  <c r="K99" i="4" s="1"/>
  <c r="G98" i="4"/>
  <c r="H98" i="4" s="1"/>
  <c r="I98" i="4" s="1"/>
  <c r="J98" i="4" s="1"/>
  <c r="K98" i="4" s="1"/>
  <c r="G82" i="4"/>
  <c r="H82" i="4" s="1"/>
  <c r="I82" i="4" s="1"/>
  <c r="J82" i="4" s="1"/>
  <c r="K82" i="4" s="1"/>
  <c r="F207" i="4"/>
  <c r="E207" i="4"/>
  <c r="F206" i="4"/>
  <c r="E206" i="4"/>
  <c r="F205" i="4"/>
  <c r="E205" i="4"/>
  <c r="F204" i="4"/>
  <c r="F221" i="4" s="1"/>
  <c r="E204" i="4"/>
  <c r="E221" i="4" s="1"/>
  <c r="F212" i="4"/>
  <c r="E212" i="4"/>
  <c r="F211" i="4"/>
  <c r="F223" i="4" s="1"/>
  <c r="E211" i="4"/>
  <c r="E223" i="4" s="1"/>
  <c r="D207" i="4"/>
  <c r="D206" i="4"/>
  <c r="D205" i="4"/>
  <c r="D222" i="4" s="1"/>
  <c r="D204" i="4"/>
  <c r="D221" i="4" s="1"/>
  <c r="D212" i="4"/>
  <c r="D211" i="4"/>
  <c r="D213" i="4"/>
  <c r="E213" i="4"/>
  <c r="F213" i="4"/>
  <c r="G69" i="4"/>
  <c r="H69" i="4" s="1"/>
  <c r="I69" i="4" s="1"/>
  <c r="J69" i="4" s="1"/>
  <c r="K69" i="4" s="1"/>
  <c r="F274" i="4"/>
  <c r="G274" i="4" s="1"/>
  <c r="E274" i="4"/>
  <c r="F273" i="4"/>
  <c r="G273" i="4" s="1"/>
  <c r="E273" i="4"/>
  <c r="D274" i="4"/>
  <c r="D273" i="4"/>
  <c r="F271" i="4"/>
  <c r="G268" i="4" s="1"/>
  <c r="E271" i="4"/>
  <c r="F268" i="4" s="1"/>
  <c r="D271" i="4"/>
  <c r="E268" i="4" s="1"/>
  <c r="G89" i="4"/>
  <c r="H89" i="4" s="1"/>
  <c r="I89" i="4" s="1"/>
  <c r="J89" i="4" s="1"/>
  <c r="K89" i="4" s="1"/>
  <c r="G60" i="4"/>
  <c r="H60" i="4" s="1"/>
  <c r="I60" i="4" s="1"/>
  <c r="J60" i="4" s="1"/>
  <c r="K60" i="4" s="1"/>
  <c r="G62" i="4"/>
  <c r="H62" i="4" s="1"/>
  <c r="I62" i="4" s="1"/>
  <c r="J62" i="4" s="1"/>
  <c r="K62" i="4" s="1"/>
  <c r="F285" i="4"/>
  <c r="E285" i="4"/>
  <c r="D286" i="4"/>
  <c r="D285" i="4"/>
  <c r="F283" i="4"/>
  <c r="G280" i="4" s="1"/>
  <c r="E283" i="4"/>
  <c r="F280" i="4" s="1"/>
  <c r="D283" i="4"/>
  <c r="E280" i="4" s="1"/>
  <c r="F172" i="4"/>
  <c r="E172" i="4"/>
  <c r="D172" i="4"/>
  <c r="F171" i="4"/>
  <c r="E171" i="4"/>
  <c r="D171" i="4"/>
  <c r="F166" i="4"/>
  <c r="G166" i="4" s="1"/>
  <c r="E166" i="4"/>
  <c r="D166" i="4"/>
  <c r="F165" i="4"/>
  <c r="E165" i="4"/>
  <c r="D165" i="4"/>
  <c r="F163" i="4"/>
  <c r="E163" i="4"/>
  <c r="D163" i="4"/>
  <c r="F253" i="4"/>
  <c r="G249" i="4" s="1"/>
  <c r="E253" i="4"/>
  <c r="F249" i="4" s="1"/>
  <c r="D253" i="4"/>
  <c r="E249" i="4" s="1"/>
  <c r="F257" i="4"/>
  <c r="E257" i="4"/>
  <c r="D257" i="4"/>
  <c r="F259" i="4"/>
  <c r="G256" i="4" s="1"/>
  <c r="E259" i="4"/>
  <c r="F256" i="4" s="1"/>
  <c r="D259" i="4"/>
  <c r="E256" i="4" s="1"/>
  <c r="G88" i="4"/>
  <c r="G81" i="4"/>
  <c r="H81" i="4" s="1"/>
  <c r="I81" i="4" s="1"/>
  <c r="J81" i="4" s="1"/>
  <c r="K81" i="4" s="1"/>
  <c r="G78" i="4"/>
  <c r="G230" i="4"/>
  <c r="F230" i="4"/>
  <c r="F236" i="4"/>
  <c r="E236" i="4"/>
  <c r="D236" i="4"/>
  <c r="H78" i="4" l="1"/>
  <c r="G144" i="4"/>
  <c r="H88" i="4"/>
  <c r="G309" i="4"/>
  <c r="E160" i="4"/>
  <c r="D94" i="4"/>
  <c r="F160" i="4"/>
  <c r="E94" i="4"/>
  <c r="G285" i="4"/>
  <c r="H285" i="4" s="1"/>
  <c r="I285" i="4" s="1"/>
  <c r="J285" i="4" s="1"/>
  <c r="K285" i="4" s="1"/>
  <c r="E208" i="4"/>
  <c r="G160" i="4"/>
  <c r="F94" i="4"/>
  <c r="G94" i="4" s="1"/>
  <c r="H94" i="4" s="1"/>
  <c r="I94" i="4" s="1"/>
  <c r="J94" i="4" s="1"/>
  <c r="K94" i="4" s="1"/>
  <c r="G299" i="4"/>
  <c r="H299" i="4" s="1"/>
  <c r="I299" i="4" s="1"/>
  <c r="J299" i="4" s="1"/>
  <c r="K299" i="4" s="1"/>
  <c r="H297" i="4"/>
  <c r="H301" i="4"/>
  <c r="I301" i="4" s="1"/>
  <c r="J301" i="4" s="1"/>
  <c r="K301" i="4" s="1"/>
  <c r="D214" i="4"/>
  <c r="J300" i="4"/>
  <c r="E214" i="4"/>
  <c r="F214" i="4"/>
  <c r="D223" i="4"/>
  <c r="F208" i="4"/>
  <c r="D208" i="4"/>
  <c r="E222" i="4"/>
  <c r="F222" i="4"/>
  <c r="H221" i="4"/>
  <c r="H274" i="4"/>
  <c r="H273" i="4"/>
  <c r="I286" i="4"/>
  <c r="F232" i="4"/>
  <c r="D258" i="4"/>
  <c r="F258" i="4"/>
  <c r="H165" i="4"/>
  <c r="H166" i="4"/>
  <c r="E258" i="4"/>
  <c r="H262" i="4"/>
  <c r="F237" i="4"/>
  <c r="E237" i="4"/>
  <c r="H144" i="4" l="1"/>
  <c r="I88" i="4"/>
  <c r="I297" i="4"/>
  <c r="I78" i="4"/>
  <c r="F216" i="4"/>
  <c r="F217" i="4" s="1"/>
  <c r="E216" i="4"/>
  <c r="E217" i="4" s="1"/>
  <c r="D216" i="4"/>
  <c r="D217" i="4" s="1"/>
  <c r="K300" i="4"/>
  <c r="I221" i="4"/>
  <c r="I274" i="4"/>
  <c r="I273" i="4"/>
  <c r="J286" i="4"/>
  <c r="I166" i="4"/>
  <c r="I165" i="4"/>
  <c r="I262" i="4"/>
  <c r="J297" i="4" l="1"/>
  <c r="J78" i="4"/>
  <c r="I144" i="4"/>
  <c r="J88" i="4"/>
  <c r="F218" i="4"/>
  <c r="E218" i="4"/>
  <c r="J221" i="4"/>
  <c r="J273" i="4"/>
  <c r="J274" i="4"/>
  <c r="K286" i="4"/>
  <c r="J166" i="4"/>
  <c r="J165" i="4"/>
  <c r="J262" i="4"/>
  <c r="K297" i="4" l="1"/>
  <c r="K78" i="4"/>
  <c r="J144" i="4"/>
  <c r="K88" i="4"/>
  <c r="K221" i="4"/>
  <c r="K273" i="4"/>
  <c r="K274" i="4"/>
  <c r="K166" i="4"/>
  <c r="K165" i="4"/>
  <c r="K262" i="4"/>
  <c r="K144" i="4" l="1"/>
  <c r="E230" i="4"/>
  <c r="E232" i="4" s="1"/>
  <c r="F241" i="4"/>
  <c r="E241" i="4"/>
  <c r="E238" i="4" s="1"/>
  <c r="F240" i="4"/>
  <c r="E240" i="4"/>
  <c r="D241" i="4"/>
  <c r="D240" i="4"/>
  <c r="H48" i="4"/>
  <c r="F47" i="4"/>
  <c r="G47" i="4" s="1"/>
  <c r="E47" i="4"/>
  <c r="D47" i="4"/>
  <c r="F46" i="4"/>
  <c r="H46" i="4" s="1"/>
  <c r="I46" i="4" s="1"/>
  <c r="J46" i="4" s="1"/>
  <c r="K46" i="4" s="1"/>
  <c r="E46" i="4"/>
  <c r="D46" i="4"/>
  <c r="F45" i="4"/>
  <c r="G45" i="4" s="1"/>
  <c r="E45" i="4"/>
  <c r="D45" i="4"/>
  <c r="H47" i="4" l="1"/>
  <c r="I47" i="4" s="1"/>
  <c r="J47" i="4" s="1"/>
  <c r="K47" i="4" s="1"/>
  <c r="D242" i="4"/>
  <c r="E242" i="4"/>
  <c r="E233" i="4"/>
  <c r="F242" i="4"/>
  <c r="F233" i="4"/>
  <c r="G233" i="4" s="1"/>
  <c r="F238" i="4"/>
  <c r="I48" i="4"/>
  <c r="H45" i="4"/>
  <c r="H233" i="4" l="1"/>
  <c r="G240" i="4"/>
  <c r="G29" i="4" s="1"/>
  <c r="J48" i="4"/>
  <c r="I45" i="4"/>
  <c r="I233" i="4" l="1"/>
  <c r="K48" i="4"/>
  <c r="J45" i="4"/>
  <c r="J233" i="4" l="1"/>
  <c r="K45" i="4"/>
  <c r="K233" i="4" l="1"/>
  <c r="F43" i="4" l="1"/>
  <c r="G43" i="4" s="1"/>
  <c r="E43" i="4"/>
  <c r="D43" i="4"/>
  <c r="F44" i="4"/>
  <c r="G44" i="4" s="1"/>
  <c r="E44" i="4"/>
  <c r="D44" i="4"/>
  <c r="F42" i="4"/>
  <c r="E42" i="4"/>
  <c r="D42" i="4"/>
  <c r="F40" i="4"/>
  <c r="E40" i="4"/>
  <c r="G182" i="4"/>
  <c r="G185" i="4"/>
  <c r="H185" i="4" s="1"/>
  <c r="I185" i="4" s="1"/>
  <c r="J185" i="4" s="1"/>
  <c r="K185" i="4" s="1"/>
  <c r="G184" i="4"/>
  <c r="G183" i="4"/>
  <c r="G181" i="4"/>
  <c r="H181" i="4" s="1"/>
  <c r="I181" i="4" s="1"/>
  <c r="J181" i="4" s="1"/>
  <c r="K181" i="4" s="1"/>
  <c r="G180" i="4"/>
  <c r="G179" i="4"/>
  <c r="G178" i="4"/>
  <c r="H178" i="4" s="1"/>
  <c r="F196" i="4"/>
  <c r="E196" i="4"/>
  <c r="F195" i="4"/>
  <c r="E195" i="4"/>
  <c r="F194" i="4"/>
  <c r="E194" i="4"/>
  <c r="F193" i="4"/>
  <c r="E193" i="4"/>
  <c r="F192" i="4"/>
  <c r="E192" i="4"/>
  <c r="F191" i="4"/>
  <c r="E191" i="4"/>
  <c r="F190" i="4"/>
  <c r="E190" i="4"/>
  <c r="F186" i="4"/>
  <c r="F188" i="4" s="1"/>
  <c r="D186" i="4"/>
  <c r="D188" i="4" s="1"/>
  <c r="E186" i="4"/>
  <c r="E188" i="4" s="1"/>
  <c r="G42" i="4" l="1"/>
  <c r="H42" i="4" s="1"/>
  <c r="H43" i="4"/>
  <c r="H44" i="4"/>
  <c r="H184" i="4"/>
  <c r="I184" i="4" s="1"/>
  <c r="J184" i="4" s="1"/>
  <c r="K184" i="4" s="1"/>
  <c r="H179" i="4"/>
  <c r="I179" i="4" s="1"/>
  <c r="J179" i="4" s="1"/>
  <c r="K179" i="4" s="1"/>
  <c r="G186" i="4"/>
  <c r="H180" i="4"/>
  <c r="I180" i="4" s="1"/>
  <c r="J180" i="4" s="1"/>
  <c r="K180" i="4" s="1"/>
  <c r="H183" i="4"/>
  <c r="I183" i="4" s="1"/>
  <c r="J183" i="4" s="1"/>
  <c r="K183" i="4" s="1"/>
  <c r="I44" i="4" l="1"/>
  <c r="I43" i="4"/>
  <c r="I42" i="4"/>
  <c r="G16" i="4"/>
  <c r="H182" i="4"/>
  <c r="I178" i="4"/>
  <c r="G293" i="4" l="1"/>
  <c r="G295" i="4"/>
  <c r="G294" i="4"/>
  <c r="G213" i="4"/>
  <c r="G80" i="4" s="1"/>
  <c r="G206" i="4"/>
  <c r="G59" i="4" s="1"/>
  <c r="G128" i="4" s="1"/>
  <c r="G207" i="4"/>
  <c r="G58" i="4" s="1"/>
  <c r="G129" i="4" s="1"/>
  <c r="G212" i="4"/>
  <c r="G77" i="4" s="1"/>
  <c r="G131" i="4" s="1"/>
  <c r="G205" i="4"/>
  <c r="G57" i="4" s="1"/>
  <c r="G127" i="4" s="1"/>
  <c r="G270" i="4"/>
  <c r="G269" i="4"/>
  <c r="G139" i="4" s="1"/>
  <c r="G282" i="4"/>
  <c r="G119" i="4" s="1"/>
  <c r="G281" i="4"/>
  <c r="G161" i="4"/>
  <c r="G162" i="4"/>
  <c r="G23" i="4"/>
  <c r="G310" i="4" s="1"/>
  <c r="G22" i="4"/>
  <c r="G20" i="4"/>
  <c r="G19" i="4"/>
  <c r="G21" i="4"/>
  <c r="J44" i="4"/>
  <c r="J43" i="4"/>
  <c r="J42" i="4"/>
  <c r="G40" i="4"/>
  <c r="G188" i="4"/>
  <c r="I182" i="4"/>
  <c r="J182" i="4" s="1"/>
  <c r="K182" i="4" s="1"/>
  <c r="H186" i="4"/>
  <c r="J178" i="4"/>
  <c r="G138" i="4" l="1"/>
  <c r="G140" i="4" s="1"/>
  <c r="E27" i="2"/>
  <c r="H307" i="4"/>
  <c r="G90" i="4"/>
  <c r="G120" i="4" s="1"/>
  <c r="G132" i="4"/>
  <c r="G117" i="4"/>
  <c r="G118" i="4"/>
  <c r="G170" i="4"/>
  <c r="G171" i="4" s="1"/>
  <c r="G296" i="4"/>
  <c r="G271" i="4"/>
  <c r="H268" i="4" s="1"/>
  <c r="G283" i="4"/>
  <c r="H280" i="4" s="1"/>
  <c r="G163" i="4"/>
  <c r="G91" i="4" s="1"/>
  <c r="G121" i="4" s="1"/>
  <c r="K44" i="4"/>
  <c r="K43" i="4"/>
  <c r="K42" i="4"/>
  <c r="I186" i="4"/>
  <c r="I16" i="4" s="1"/>
  <c r="H16" i="4"/>
  <c r="J186" i="4"/>
  <c r="K178" i="4"/>
  <c r="K186" i="4" s="1"/>
  <c r="E30" i="2" l="1"/>
  <c r="E38" i="2" s="1"/>
  <c r="E28" i="2"/>
  <c r="H309" i="4"/>
  <c r="G68" i="4"/>
  <c r="I294" i="4"/>
  <c r="I293" i="4"/>
  <c r="I295" i="4"/>
  <c r="H295" i="4"/>
  <c r="H294" i="4"/>
  <c r="H293" i="4"/>
  <c r="H292" i="4"/>
  <c r="G84" i="4"/>
  <c r="G92" i="4"/>
  <c r="G172" i="4"/>
  <c r="G67" i="4"/>
  <c r="H206" i="4"/>
  <c r="H59" i="4" s="1"/>
  <c r="H128" i="4" s="1"/>
  <c r="H213" i="4"/>
  <c r="H80" i="4" s="1"/>
  <c r="H212" i="4"/>
  <c r="H77" i="4" s="1"/>
  <c r="H131" i="4" s="1"/>
  <c r="H207" i="4"/>
  <c r="H58" i="4" s="1"/>
  <c r="H129" i="4" s="1"/>
  <c r="H205" i="4"/>
  <c r="H57" i="4" s="1"/>
  <c r="H127" i="4" s="1"/>
  <c r="I213" i="4"/>
  <c r="I80" i="4" s="1"/>
  <c r="I212" i="4"/>
  <c r="I77" i="4" s="1"/>
  <c r="I207" i="4"/>
  <c r="I58" i="4" s="1"/>
  <c r="I206" i="4"/>
  <c r="I59" i="4" s="1"/>
  <c r="I128" i="4" s="1"/>
  <c r="I205" i="4"/>
  <c r="I57" i="4" s="1"/>
  <c r="I269" i="4"/>
  <c r="I139" i="4" s="1"/>
  <c r="I270" i="4"/>
  <c r="I118" i="4" s="1"/>
  <c r="H160" i="4"/>
  <c r="G66" i="4"/>
  <c r="H270" i="4"/>
  <c r="H118" i="4" s="1"/>
  <c r="H269" i="4"/>
  <c r="H139" i="4" s="1"/>
  <c r="I281" i="4"/>
  <c r="I282" i="4"/>
  <c r="I119" i="4" s="1"/>
  <c r="H282" i="4"/>
  <c r="H119" i="4" s="1"/>
  <c r="H281" i="4"/>
  <c r="I25" i="4"/>
  <c r="I162" i="4"/>
  <c r="I117" i="4" s="1"/>
  <c r="I161" i="4"/>
  <c r="H25" i="4"/>
  <c r="H162" i="4"/>
  <c r="H117" i="4" s="1"/>
  <c r="H161" i="4"/>
  <c r="I23" i="4"/>
  <c r="I22" i="4"/>
  <c r="H23" i="4"/>
  <c r="H22" i="4"/>
  <c r="H21" i="4"/>
  <c r="H20" i="4"/>
  <c r="H19" i="4"/>
  <c r="I19" i="4"/>
  <c r="I20" i="4"/>
  <c r="I21" i="4"/>
  <c r="I188" i="4"/>
  <c r="I40" i="4"/>
  <c r="J16" i="4"/>
  <c r="H188" i="4"/>
  <c r="H40" i="4"/>
  <c r="K16" i="4"/>
  <c r="I138" i="4" l="1"/>
  <c r="G27" i="2"/>
  <c r="H138" i="4"/>
  <c r="H140" i="4" s="1"/>
  <c r="F27" i="2"/>
  <c r="H310" i="4"/>
  <c r="I307" i="4" s="1"/>
  <c r="G231" i="4"/>
  <c r="I127" i="4"/>
  <c r="H132" i="4"/>
  <c r="I129" i="4"/>
  <c r="I131" i="4"/>
  <c r="I132" i="4"/>
  <c r="I140" i="4"/>
  <c r="G145" i="4"/>
  <c r="J295" i="4"/>
  <c r="J294" i="4"/>
  <c r="J293" i="4"/>
  <c r="H170" i="4"/>
  <c r="H171" i="4" s="1"/>
  <c r="H296" i="4"/>
  <c r="K293" i="4"/>
  <c r="K295" i="4"/>
  <c r="K294" i="4"/>
  <c r="I170" i="4"/>
  <c r="I171" i="4" s="1"/>
  <c r="H283" i="4"/>
  <c r="H271" i="4"/>
  <c r="K213" i="4"/>
  <c r="K80" i="4" s="1"/>
  <c r="K212" i="4"/>
  <c r="K77" i="4" s="1"/>
  <c r="K207" i="4"/>
  <c r="K58" i="4" s="1"/>
  <c r="K129" i="4" s="1"/>
  <c r="K206" i="4"/>
  <c r="K59" i="4" s="1"/>
  <c r="K205" i="4"/>
  <c r="K57" i="4" s="1"/>
  <c r="J213" i="4"/>
  <c r="J80" i="4" s="1"/>
  <c r="J212" i="4"/>
  <c r="J77" i="4" s="1"/>
  <c r="J131" i="4" s="1"/>
  <c r="J207" i="4"/>
  <c r="J58" i="4" s="1"/>
  <c r="J129" i="4" s="1"/>
  <c r="J206" i="4"/>
  <c r="J59" i="4" s="1"/>
  <c r="J128" i="4" s="1"/>
  <c r="J205" i="4"/>
  <c r="J57" i="4" s="1"/>
  <c r="J127" i="4" s="1"/>
  <c r="H163" i="4"/>
  <c r="J269" i="4"/>
  <c r="J139" i="4" s="1"/>
  <c r="J270" i="4"/>
  <c r="J118" i="4" s="1"/>
  <c r="K270" i="4"/>
  <c r="K118" i="4" s="1"/>
  <c r="K269" i="4"/>
  <c r="K139" i="4" s="1"/>
  <c r="K281" i="4"/>
  <c r="K282" i="4"/>
  <c r="K119" i="4" s="1"/>
  <c r="J281" i="4"/>
  <c r="J282" i="4"/>
  <c r="J119" i="4" s="1"/>
  <c r="K25" i="4"/>
  <c r="K161" i="4"/>
  <c r="K162" i="4"/>
  <c r="K117" i="4" s="1"/>
  <c r="J25" i="4"/>
  <c r="J162" i="4"/>
  <c r="J117" i="4" s="1"/>
  <c r="J161" i="4"/>
  <c r="K20" i="4"/>
  <c r="J23" i="4"/>
  <c r="J22" i="4"/>
  <c r="K21" i="4"/>
  <c r="K23" i="4"/>
  <c r="K22" i="4"/>
  <c r="K19" i="4"/>
  <c r="J19" i="4"/>
  <c r="J21" i="4"/>
  <c r="J20" i="4"/>
  <c r="J188" i="4"/>
  <c r="J40" i="4"/>
  <c r="K188" i="4"/>
  <c r="K40" i="4"/>
  <c r="F104" i="4"/>
  <c r="F106" i="4" s="1"/>
  <c r="E104" i="4"/>
  <c r="E106" i="4" s="1"/>
  <c r="G93" i="4"/>
  <c r="F93" i="4"/>
  <c r="E93" i="4"/>
  <c r="F85" i="4"/>
  <c r="E85" i="4"/>
  <c r="G70" i="4"/>
  <c r="F70" i="4"/>
  <c r="E70" i="4"/>
  <c r="F63" i="4"/>
  <c r="E63" i="4"/>
  <c r="D93" i="4"/>
  <c r="D85" i="4"/>
  <c r="D70" i="4"/>
  <c r="D63" i="4"/>
  <c r="D104" i="4"/>
  <c r="D106" i="4" s="1"/>
  <c r="F28" i="2" l="1"/>
  <c r="F30" i="2"/>
  <c r="F38" i="2" s="1"/>
  <c r="G28" i="2"/>
  <c r="G30" i="2"/>
  <c r="G38" i="2" s="1"/>
  <c r="K138" i="4"/>
  <c r="K140" i="4" s="1"/>
  <c r="I27" i="2"/>
  <c r="J138" i="4"/>
  <c r="J140" i="4" s="1"/>
  <c r="H27" i="2"/>
  <c r="H90" i="4"/>
  <c r="H120" i="4" s="1"/>
  <c r="I309" i="4"/>
  <c r="I310" i="4" s="1"/>
  <c r="K127" i="4"/>
  <c r="K128" i="4"/>
  <c r="K131" i="4"/>
  <c r="I160" i="4"/>
  <c r="I163" i="4" s="1"/>
  <c r="H66" i="4"/>
  <c r="H91" i="4"/>
  <c r="K132" i="4"/>
  <c r="I268" i="4"/>
  <c r="I271" i="4" s="1"/>
  <c r="H68" i="4"/>
  <c r="I280" i="4"/>
  <c r="I283" i="4" s="1"/>
  <c r="H67" i="4"/>
  <c r="I292" i="4"/>
  <c r="I296" i="4" s="1"/>
  <c r="H84" i="4"/>
  <c r="H92" i="4"/>
  <c r="J132" i="4"/>
  <c r="J170" i="4"/>
  <c r="J171" i="4" s="1"/>
  <c r="H230" i="4"/>
  <c r="G232" i="4"/>
  <c r="I172" i="4"/>
  <c r="H172" i="4"/>
  <c r="K170" i="4"/>
  <c r="K171" i="4" s="1"/>
  <c r="D72" i="4"/>
  <c r="F72" i="4"/>
  <c r="E72" i="4"/>
  <c r="F95" i="4"/>
  <c r="F108" i="4" s="1"/>
  <c r="E95" i="4"/>
  <c r="E108" i="4" s="1"/>
  <c r="D95" i="4"/>
  <c r="D108" i="4" s="1"/>
  <c r="H30" i="2" l="1"/>
  <c r="H38" i="2" s="1"/>
  <c r="H28" i="2"/>
  <c r="I28" i="2"/>
  <c r="I30" i="2"/>
  <c r="I38" i="2" s="1"/>
  <c r="J307" i="4"/>
  <c r="J309" i="4" s="1"/>
  <c r="J310" i="4" s="1"/>
  <c r="I90" i="4"/>
  <c r="I120" i="4" s="1"/>
  <c r="H145" i="4"/>
  <c r="H231" i="4"/>
  <c r="I230" i="4" s="1"/>
  <c r="J292" i="4"/>
  <c r="J296" i="4" s="1"/>
  <c r="I84" i="4"/>
  <c r="I92" i="4"/>
  <c r="J280" i="4"/>
  <c r="J283" i="4" s="1"/>
  <c r="I67" i="4"/>
  <c r="H121" i="4"/>
  <c r="H93" i="4"/>
  <c r="H70" i="4"/>
  <c r="J268" i="4"/>
  <c r="J271" i="4" s="1"/>
  <c r="I68" i="4"/>
  <c r="J160" i="4"/>
  <c r="J163" i="4" s="1"/>
  <c r="I66" i="4"/>
  <c r="I91" i="4"/>
  <c r="J172" i="4"/>
  <c r="K172" i="4"/>
  <c r="H232" i="4"/>
  <c r="H240" i="4"/>
  <c r="H29" i="4" s="1"/>
  <c r="D110" i="4"/>
  <c r="E110" i="4"/>
  <c r="F110" i="4"/>
  <c r="F18" i="4"/>
  <c r="F41" i="4" s="1"/>
  <c r="G41" i="4" s="1"/>
  <c r="E18" i="4"/>
  <c r="D18" i="4"/>
  <c r="K307" i="4" l="1"/>
  <c r="J90" i="4"/>
  <c r="J120" i="4" s="1"/>
  <c r="I231" i="4"/>
  <c r="J230" i="4" s="1"/>
  <c r="J240" i="4" s="1"/>
  <c r="J29" i="4" s="1"/>
  <c r="I232" i="4"/>
  <c r="I240" i="4"/>
  <c r="I29" i="4" s="1"/>
  <c r="I70" i="4"/>
  <c r="K280" i="4"/>
  <c r="K283" i="4" s="1"/>
  <c r="K67" i="4" s="1"/>
  <c r="J67" i="4"/>
  <c r="I121" i="4"/>
  <c r="I93" i="4"/>
  <c r="K268" i="4"/>
  <c r="K271" i="4" s="1"/>
  <c r="K68" i="4" s="1"/>
  <c r="J68" i="4"/>
  <c r="I145" i="4"/>
  <c r="K160" i="4"/>
  <c r="K163" i="4" s="1"/>
  <c r="J91" i="4"/>
  <c r="J66" i="4"/>
  <c r="K292" i="4"/>
  <c r="K296" i="4" s="1"/>
  <c r="J84" i="4"/>
  <c r="J92" i="4"/>
  <c r="H41" i="4"/>
  <c r="G18" i="4"/>
  <c r="G17" i="4" s="1"/>
  <c r="D26" i="4"/>
  <c r="D41" i="4"/>
  <c r="E26" i="4"/>
  <c r="E41" i="4"/>
  <c r="F26" i="4"/>
  <c r="K309" i="4" l="1"/>
  <c r="K310" i="4" s="1"/>
  <c r="K90" i="4" s="1"/>
  <c r="K120" i="4" s="1"/>
  <c r="D30" i="4"/>
  <c r="D36" i="4"/>
  <c r="D37" i="4" s="1"/>
  <c r="F30" i="4"/>
  <c r="F32" i="4" s="1"/>
  <c r="F36" i="4"/>
  <c r="F37" i="4" s="1"/>
  <c r="J231" i="4"/>
  <c r="E30" i="4"/>
  <c r="E32" i="4" s="1"/>
  <c r="E36" i="4"/>
  <c r="E37" i="4" s="1"/>
  <c r="K66" i="4"/>
  <c r="K70" i="4" s="1"/>
  <c r="K91" i="4"/>
  <c r="K84" i="4"/>
  <c r="K92" i="4"/>
  <c r="J145" i="4"/>
  <c r="J70" i="4"/>
  <c r="J121" i="4"/>
  <c r="J93" i="4"/>
  <c r="G204" i="4"/>
  <c r="G211" i="4"/>
  <c r="D32" i="4"/>
  <c r="D48" i="4"/>
  <c r="I41" i="4"/>
  <c r="H18" i="4"/>
  <c r="F48" i="4" l="1"/>
  <c r="E48" i="4"/>
  <c r="K230" i="4"/>
  <c r="J232" i="4"/>
  <c r="K231" i="4"/>
  <c r="K145" i="4"/>
  <c r="K121" i="4"/>
  <c r="K93" i="4"/>
  <c r="G79" i="4"/>
  <c r="G130" i="4" s="1"/>
  <c r="G214" i="4"/>
  <c r="G56" i="4"/>
  <c r="G208" i="4"/>
  <c r="D33" i="4"/>
  <c r="D250" i="4" s="1"/>
  <c r="D261" i="4" s="1"/>
  <c r="D262" i="4"/>
  <c r="F33" i="4"/>
  <c r="F250" i="4" s="1"/>
  <c r="F261" i="4" s="1"/>
  <c r="F262" i="4"/>
  <c r="E33" i="4"/>
  <c r="E250" i="4" s="1"/>
  <c r="E261" i="4" s="1"/>
  <c r="E262" i="4"/>
  <c r="H17" i="4"/>
  <c r="H26" i="4"/>
  <c r="H36" i="4" s="1"/>
  <c r="H37" i="4" s="1"/>
  <c r="J41" i="4"/>
  <c r="I18" i="4"/>
  <c r="G216" i="4" l="1"/>
  <c r="G218" i="4" s="1"/>
  <c r="K240" i="4"/>
  <c r="K29" i="4" s="1"/>
  <c r="K232" i="4"/>
  <c r="G126" i="4"/>
  <c r="G133" i="4" s="1"/>
  <c r="H211" i="4"/>
  <c r="H204" i="4"/>
  <c r="H261" i="4"/>
  <c r="I17" i="4"/>
  <c r="I26" i="4"/>
  <c r="I36" i="4" s="1"/>
  <c r="I37" i="4" s="1"/>
  <c r="K41" i="4"/>
  <c r="K18" i="4" s="1"/>
  <c r="J18" i="4"/>
  <c r="G217" i="4" l="1"/>
  <c r="H208" i="4"/>
  <c r="H56" i="4"/>
  <c r="H126" i="4" s="1"/>
  <c r="H214" i="4"/>
  <c r="H79" i="4"/>
  <c r="H130" i="4" s="1"/>
  <c r="I211" i="4"/>
  <c r="I204" i="4"/>
  <c r="I261" i="4"/>
  <c r="K17" i="4"/>
  <c r="K26" i="4"/>
  <c r="K36" i="4" s="1"/>
  <c r="K37" i="4" s="1"/>
  <c r="J17" i="4"/>
  <c r="J26" i="4"/>
  <c r="J36" i="4" s="1"/>
  <c r="J37" i="4" s="1"/>
  <c r="H216" i="4" l="1"/>
  <c r="I208" i="4"/>
  <c r="I56" i="4"/>
  <c r="I126" i="4" s="1"/>
  <c r="I214" i="4"/>
  <c r="I79" i="4"/>
  <c r="I130" i="4" s="1"/>
  <c r="H133" i="4"/>
  <c r="I216" i="4"/>
  <c r="I218" i="4" s="1"/>
  <c r="K211" i="4"/>
  <c r="K204" i="4"/>
  <c r="H217" i="4"/>
  <c r="H218" i="4"/>
  <c r="J211" i="4"/>
  <c r="J204" i="4"/>
  <c r="J261" i="4"/>
  <c r="J208" i="4" l="1"/>
  <c r="J56" i="4"/>
  <c r="J126" i="4" s="1"/>
  <c r="K214" i="4"/>
  <c r="K79" i="4"/>
  <c r="I133" i="4"/>
  <c r="K208" i="4"/>
  <c r="K216" i="4" s="1"/>
  <c r="K217" i="4" s="1"/>
  <c r="K56" i="4"/>
  <c r="J214" i="4"/>
  <c r="J79" i="4"/>
  <c r="J130" i="4" s="1"/>
  <c r="I217" i="4"/>
  <c r="K261" i="4"/>
  <c r="J216" i="4" l="1"/>
  <c r="J217" i="4" s="1"/>
  <c r="K130" i="4"/>
  <c r="K126" i="4"/>
  <c r="K133" i="4" s="1"/>
  <c r="J133" i="4"/>
  <c r="J218" i="4" l="1"/>
  <c r="K218" i="4"/>
  <c r="B3" i="2" l="1"/>
  <c r="F14" i="4" l="1"/>
  <c r="F13" i="4"/>
  <c r="C2" i="4"/>
  <c r="F289" i="4" l="1"/>
  <c r="F176" i="4"/>
  <c r="F290" i="4"/>
  <c r="F175" i="4"/>
  <c r="G14" i="4"/>
  <c r="G13" i="4"/>
  <c r="E13" i="4"/>
  <c r="E14" i="4"/>
  <c r="F226" i="4"/>
  <c r="F227" i="4"/>
  <c r="F245" i="4"/>
  <c r="F246" i="4"/>
  <c r="F265" i="4"/>
  <c r="F266" i="4"/>
  <c r="F277" i="4"/>
  <c r="F278" i="4"/>
  <c r="F304" i="4"/>
  <c r="F305" i="4"/>
  <c r="F51" i="4"/>
  <c r="F52" i="4"/>
  <c r="F157" i="4"/>
  <c r="F158" i="4"/>
  <c r="G289" i="4" l="1"/>
  <c r="E176" i="4"/>
  <c r="E290" i="4"/>
  <c r="E226" i="4"/>
  <c r="E289" i="4"/>
  <c r="G176" i="4"/>
  <c r="G290" i="4"/>
  <c r="E175" i="4"/>
  <c r="G175" i="4"/>
  <c r="G52" i="4"/>
  <c r="G277" i="4"/>
  <c r="G227" i="4"/>
  <c r="G158" i="4"/>
  <c r="G305" i="4"/>
  <c r="G304" i="4"/>
  <c r="G266" i="4"/>
  <c r="H13" i="4"/>
  <c r="H14" i="4"/>
  <c r="G278" i="4"/>
  <c r="G114" i="4"/>
  <c r="G246" i="4"/>
  <c r="G113" i="4"/>
  <c r="G265" i="4"/>
  <c r="G51" i="4"/>
  <c r="G157" i="4"/>
  <c r="G226" i="4"/>
  <c r="G245" i="4"/>
  <c r="E158" i="4"/>
  <c r="E52" i="4"/>
  <c r="E305" i="4"/>
  <c r="E278" i="4"/>
  <c r="E266" i="4"/>
  <c r="E246" i="4"/>
  <c r="E227" i="4"/>
  <c r="D14" i="4"/>
  <c r="E157" i="4"/>
  <c r="E51" i="4"/>
  <c r="E304" i="4"/>
  <c r="E277" i="4"/>
  <c r="E265" i="4"/>
  <c r="E245" i="4"/>
  <c r="D13" i="4"/>
  <c r="D289" i="4" l="1"/>
  <c r="H289" i="4"/>
  <c r="H176" i="4"/>
  <c r="H290" i="4"/>
  <c r="D176" i="4"/>
  <c r="D290" i="4"/>
  <c r="H175" i="4"/>
  <c r="D175" i="4"/>
  <c r="H305" i="4"/>
  <c r="I14" i="4"/>
  <c r="H266" i="4"/>
  <c r="H114" i="4"/>
  <c r="H158" i="4"/>
  <c r="H227" i="4"/>
  <c r="H52" i="4"/>
  <c r="H246" i="4"/>
  <c r="H113" i="4"/>
  <c r="H278" i="4"/>
  <c r="H265" i="4"/>
  <c r="H277" i="4"/>
  <c r="H157" i="4"/>
  <c r="H304" i="4"/>
  <c r="H226" i="4"/>
  <c r="I13" i="4"/>
  <c r="H51" i="4"/>
  <c r="H245" i="4"/>
  <c r="D157" i="4"/>
  <c r="D51" i="4"/>
  <c r="D304" i="4"/>
  <c r="D277" i="4"/>
  <c r="D265" i="4"/>
  <c r="D245" i="4"/>
  <c r="D226" i="4"/>
  <c r="D158" i="4"/>
  <c r="D52" i="4"/>
  <c r="D305" i="4"/>
  <c r="D278" i="4"/>
  <c r="D266" i="4"/>
  <c r="D246" i="4"/>
  <c r="D227" i="4"/>
  <c r="O90" i="2"/>
  <c r="P90" i="2" s="1"/>
  <c r="Q90" i="2" s="1"/>
  <c r="G90" i="2"/>
  <c r="F90" i="2" s="1"/>
  <c r="E90" i="2" s="1"/>
  <c r="I290" i="4" l="1"/>
  <c r="I289" i="4"/>
  <c r="J14" i="4"/>
  <c r="I176" i="4"/>
  <c r="I175" i="4"/>
  <c r="I305" i="4"/>
  <c r="I158" i="4"/>
  <c r="I227" i="4"/>
  <c r="I52" i="4"/>
  <c r="I278" i="4"/>
  <c r="I246" i="4"/>
  <c r="I266" i="4"/>
  <c r="I114" i="4"/>
  <c r="I277" i="4"/>
  <c r="I157" i="4"/>
  <c r="I265" i="4"/>
  <c r="J13" i="4"/>
  <c r="I304" i="4"/>
  <c r="I113" i="4"/>
  <c r="I51" i="4"/>
  <c r="I226" i="4"/>
  <c r="I245" i="4"/>
  <c r="H90" i="2"/>
  <c r="I90" i="2" s="1"/>
  <c r="N90" i="2"/>
  <c r="M90" i="2" s="1"/>
  <c r="J289" i="4" l="1"/>
  <c r="J176" i="4"/>
  <c r="J290" i="4"/>
  <c r="K14" i="4"/>
  <c r="J246" i="4"/>
  <c r="J278" i="4"/>
  <c r="J158" i="4"/>
  <c r="J305" i="4"/>
  <c r="J266" i="4"/>
  <c r="J227" i="4"/>
  <c r="J52" i="4"/>
  <c r="J114" i="4"/>
  <c r="J175" i="4"/>
  <c r="J157" i="4"/>
  <c r="J265" i="4"/>
  <c r="J245" i="4"/>
  <c r="J226" i="4"/>
  <c r="J51" i="4"/>
  <c r="K13" i="4"/>
  <c r="J304" i="4"/>
  <c r="J113" i="4"/>
  <c r="J277" i="4"/>
  <c r="Q130" i="2"/>
  <c r="O130" i="2"/>
  <c r="Q129" i="2"/>
  <c r="O129" i="2"/>
  <c r="Q128" i="2"/>
  <c r="O128" i="2"/>
  <c r="D130" i="2"/>
  <c r="E129" i="2"/>
  <c r="C129" i="2"/>
  <c r="E128" i="2"/>
  <c r="C128" i="2"/>
  <c r="K289" i="4" l="1"/>
  <c r="K176" i="4"/>
  <c r="K290" i="4"/>
  <c r="K114" i="4"/>
  <c r="K158" i="4"/>
  <c r="K52" i="4"/>
  <c r="K227" i="4"/>
  <c r="K246" i="4"/>
  <c r="K305" i="4"/>
  <c r="K266" i="4"/>
  <c r="K278" i="4"/>
  <c r="K277" i="4"/>
  <c r="K175" i="4"/>
  <c r="K245" i="4"/>
  <c r="K51" i="4"/>
  <c r="K226" i="4"/>
  <c r="K157" i="4"/>
  <c r="K304" i="4"/>
  <c r="K113" i="4"/>
  <c r="K265" i="4"/>
  <c r="P129" i="2"/>
  <c r="D128" i="2"/>
  <c r="P128" i="2"/>
  <c r="P130" i="2"/>
  <c r="D129" i="2"/>
  <c r="B3" i="3" l="1"/>
  <c r="B35" i="2"/>
  <c r="C12" i="2" l="1"/>
  <c r="D37" i="2"/>
  <c r="D12" i="2"/>
  <c r="E12" i="2" s="1"/>
  <c r="E37" i="2" s="1"/>
  <c r="D5" i="2"/>
  <c r="D8" i="2" s="1"/>
  <c r="C38" i="2" l="1"/>
  <c r="F12" i="2"/>
  <c r="F37" i="2" s="1"/>
  <c r="G12" i="2" l="1"/>
  <c r="G37" i="2" s="1"/>
  <c r="H12" i="2" l="1"/>
  <c r="H37" i="2" s="1"/>
  <c r="I12" i="2" l="1"/>
  <c r="I37" i="2" s="1"/>
  <c r="B43" i="2" l="1"/>
  <c r="E44" i="2"/>
  <c r="B44" i="2"/>
  <c r="G99" i="2" l="1"/>
  <c r="F99" i="2" s="1"/>
  <c r="E99" i="2" s="1"/>
  <c r="O99" i="2"/>
  <c r="P99" i="2" s="1"/>
  <c r="Q99" i="2" s="1"/>
  <c r="N99" i="2" l="1"/>
  <c r="M99" i="2" s="1"/>
  <c r="H99" i="2"/>
  <c r="I99" i="2" s="1"/>
  <c r="H4" i="2" l="1"/>
  <c r="L93" i="2"/>
  <c r="D102" i="2"/>
  <c r="D93" i="2"/>
  <c r="L102" i="2"/>
  <c r="I45" i="2" l="1"/>
  <c r="I51" i="2"/>
  <c r="I39" i="2"/>
  <c r="H39" i="2"/>
  <c r="G39" i="2"/>
  <c r="F39" i="2"/>
  <c r="E39" i="2"/>
  <c r="C44" i="2"/>
  <c r="C51" i="2" s="1"/>
  <c r="B129" i="2"/>
  <c r="D103" i="2"/>
  <c r="D104" i="2" s="1"/>
  <c r="D101" i="2"/>
  <c r="D100" i="2" s="1"/>
  <c r="B128" i="2"/>
  <c r="G128" i="2"/>
  <c r="L94" i="2"/>
  <c r="L95" i="2" s="1"/>
  <c r="L92" i="2"/>
  <c r="L91" i="2" s="1"/>
  <c r="D94" i="2"/>
  <c r="D95" i="2" s="1"/>
  <c r="D92" i="2"/>
  <c r="D91" i="2" s="1"/>
  <c r="G129" i="2"/>
  <c r="L101" i="2"/>
  <c r="L100" i="2" s="1"/>
  <c r="L103" i="2"/>
  <c r="L104" i="2" s="1"/>
  <c r="G130" i="2" s="1"/>
  <c r="C45" i="2" l="1"/>
  <c r="C46" i="2"/>
  <c r="I46" i="2" s="1"/>
  <c r="I47" i="2" s="1"/>
  <c r="D69" i="2" l="1"/>
  <c r="I49" i="2"/>
  <c r="I50" i="2" s="1"/>
  <c r="C47" i="2"/>
  <c r="C49" i="2" s="1"/>
  <c r="C50" i="2" s="1"/>
  <c r="G26" i="4"/>
  <c r="G36" i="4" s="1"/>
  <c r="G37" i="4" s="1"/>
  <c r="D83" i="2" l="1"/>
  <c r="D82" i="2"/>
  <c r="D84" i="2"/>
  <c r="D71" i="2"/>
  <c r="D73" i="2" s="1"/>
  <c r="D99" i="2" s="1"/>
  <c r="D78" i="2"/>
  <c r="L99" i="2" s="1"/>
  <c r="D77" i="2"/>
  <c r="D79" i="2"/>
  <c r="C69" i="2"/>
  <c r="C83" i="2" l="1"/>
  <c r="C82" i="2"/>
  <c r="C84" i="2"/>
  <c r="C71" i="2"/>
  <c r="C73" i="2" s="1"/>
  <c r="D90" i="2" s="1"/>
  <c r="C79" i="2"/>
  <c r="C78" i="2"/>
  <c r="L90" i="2" s="1"/>
  <c r="C77" i="2"/>
  <c r="H7" i="2" l="1"/>
  <c r="H8" i="2" s="1"/>
  <c r="G27" i="4"/>
  <c r="H27" i="4"/>
  <c r="I27" i="4"/>
  <c r="J27" i="4"/>
  <c r="K27" i="4"/>
  <c r="G30" i="4"/>
  <c r="H30" i="4"/>
  <c r="I30" i="4"/>
  <c r="J30" i="4"/>
  <c r="K30" i="4"/>
  <c r="G31" i="4"/>
  <c r="H31" i="4"/>
  <c r="I31" i="4"/>
  <c r="J31" i="4"/>
  <c r="K31" i="4"/>
  <c r="G32" i="4"/>
  <c r="H32" i="4"/>
  <c r="I32" i="4"/>
  <c r="J32" i="4"/>
  <c r="K32" i="4"/>
  <c r="G33" i="4"/>
  <c r="H33" i="4"/>
  <c r="I33" i="4"/>
  <c r="J33" i="4"/>
  <c r="K33" i="4"/>
  <c r="G34" i="4"/>
  <c r="H34" i="4"/>
  <c r="I34" i="4"/>
  <c r="J34" i="4"/>
  <c r="K34" i="4"/>
  <c r="G61" i="4"/>
  <c r="H61" i="4"/>
  <c r="I61" i="4"/>
  <c r="J61" i="4"/>
  <c r="K61" i="4"/>
  <c r="G63" i="4"/>
  <c r="H63" i="4"/>
  <c r="I63" i="4"/>
  <c r="J63" i="4"/>
  <c r="K63" i="4"/>
  <c r="G72" i="4"/>
  <c r="H72" i="4"/>
  <c r="I72" i="4"/>
  <c r="J72" i="4"/>
  <c r="K72" i="4"/>
  <c r="G83" i="4"/>
  <c r="H83" i="4"/>
  <c r="I83" i="4"/>
  <c r="J83" i="4"/>
  <c r="K83" i="4"/>
  <c r="G85" i="4"/>
  <c r="H85" i="4"/>
  <c r="I85" i="4"/>
  <c r="J85" i="4"/>
  <c r="K85" i="4"/>
  <c r="G95" i="4"/>
  <c r="H95" i="4"/>
  <c r="I95" i="4"/>
  <c r="J95" i="4"/>
  <c r="K95" i="4"/>
  <c r="G103" i="4"/>
  <c r="H103" i="4"/>
  <c r="I103" i="4"/>
  <c r="J103" i="4"/>
  <c r="K103" i="4"/>
  <c r="G104" i="4"/>
  <c r="H104" i="4"/>
  <c r="I104" i="4"/>
  <c r="J104" i="4"/>
  <c r="K104" i="4"/>
  <c r="G105" i="4"/>
  <c r="H105" i="4"/>
  <c r="I105" i="4"/>
  <c r="J105" i="4"/>
  <c r="K105" i="4"/>
  <c r="G106" i="4"/>
  <c r="H106" i="4"/>
  <c r="I106" i="4"/>
  <c r="J106" i="4"/>
  <c r="K106" i="4"/>
  <c r="G108" i="4"/>
  <c r="H108" i="4"/>
  <c r="I108" i="4"/>
  <c r="J108" i="4"/>
  <c r="K108" i="4"/>
  <c r="G110" i="4"/>
  <c r="H110" i="4"/>
  <c r="I110" i="4"/>
  <c r="J110" i="4"/>
  <c r="K110" i="4"/>
  <c r="G116" i="4"/>
  <c r="H116" i="4"/>
  <c r="I116" i="4"/>
  <c r="J116" i="4"/>
  <c r="K116" i="4"/>
  <c r="G122" i="4"/>
  <c r="H122" i="4"/>
  <c r="I122" i="4"/>
  <c r="J122" i="4"/>
  <c r="K122" i="4"/>
  <c r="G123" i="4"/>
  <c r="H123" i="4"/>
  <c r="I123" i="4"/>
  <c r="J123" i="4"/>
  <c r="K123" i="4"/>
  <c r="G134" i="4"/>
  <c r="H134" i="4"/>
  <c r="I134" i="4"/>
  <c r="J134" i="4"/>
  <c r="K134" i="4"/>
  <c r="G146" i="4"/>
  <c r="H146" i="4"/>
  <c r="I146" i="4"/>
  <c r="J146" i="4"/>
  <c r="K146" i="4"/>
  <c r="G147" i="4"/>
  <c r="H147" i="4"/>
  <c r="I147" i="4"/>
  <c r="J147" i="4"/>
  <c r="K147" i="4"/>
  <c r="G148" i="4"/>
  <c r="H148" i="4"/>
  <c r="I148" i="4"/>
  <c r="J148" i="4"/>
  <c r="K148" i="4"/>
  <c r="G150" i="4"/>
  <c r="H150" i="4"/>
  <c r="I150" i="4"/>
  <c r="J150" i="4"/>
  <c r="K150" i="4"/>
  <c r="H151" i="4"/>
  <c r="I151" i="4"/>
  <c r="J151" i="4"/>
  <c r="K151" i="4"/>
  <c r="G152" i="4"/>
  <c r="H152" i="4"/>
  <c r="I152" i="4"/>
  <c r="J152" i="4"/>
  <c r="K152" i="4"/>
  <c r="G236" i="4"/>
  <c r="H236" i="4"/>
  <c r="I236" i="4"/>
  <c r="J236" i="4"/>
  <c r="K236" i="4"/>
  <c r="G237" i="4"/>
  <c r="H237" i="4"/>
  <c r="I237" i="4"/>
  <c r="J237" i="4"/>
  <c r="K237" i="4"/>
  <c r="G241" i="4"/>
  <c r="H241" i="4"/>
  <c r="I241" i="4"/>
  <c r="J241" i="4"/>
  <c r="K241" i="4"/>
  <c r="G242" i="4"/>
  <c r="H242" i="4"/>
  <c r="I242" i="4"/>
  <c r="J242" i="4"/>
  <c r="K242" i="4"/>
  <c r="H249" i="4"/>
  <c r="I249" i="4"/>
  <c r="J249" i="4"/>
  <c r="K249" i="4"/>
  <c r="G250" i="4"/>
  <c r="H250" i="4"/>
  <c r="I250" i="4"/>
  <c r="J250" i="4"/>
  <c r="K250" i="4"/>
  <c r="G251" i="4"/>
  <c r="H251" i="4"/>
  <c r="I251" i="4"/>
  <c r="J251" i="4"/>
  <c r="K251" i="4"/>
  <c r="G253" i="4"/>
  <c r="H253" i="4"/>
  <c r="I253" i="4"/>
  <c r="J253" i="4"/>
  <c r="K253" i="4"/>
  <c r="H256" i="4"/>
  <c r="I256" i="4"/>
  <c r="J256" i="4"/>
  <c r="K256" i="4"/>
  <c r="G257" i="4"/>
  <c r="H257" i="4"/>
  <c r="I257" i="4"/>
  <c r="J257" i="4"/>
  <c r="K257" i="4"/>
  <c r="G258" i="4"/>
  <c r="H258" i="4"/>
  <c r="I258" i="4"/>
  <c r="J258" i="4"/>
  <c r="K258" i="4"/>
  <c r="G259" i="4"/>
  <c r="H259" i="4"/>
  <c r="I259" i="4"/>
  <c r="J259" i="4"/>
  <c r="K259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Wall Street Prep</author>
  </authors>
  <commentList>
    <comment ref="I51" authorId="0" shapeId="0" xr:uid="{A19F7C61-7B7E-46EE-B14E-92923319564B}">
      <text>
        <r>
          <rPr>
            <b/>
            <sz val="9"/>
            <color indexed="81"/>
            <rFont val="Tahoma"/>
            <family val="2"/>
          </rPr>
          <t>Wall Street Prep:</t>
        </r>
        <r>
          <rPr>
            <sz val="9"/>
            <color indexed="81"/>
            <rFont val="Tahoma"/>
            <family val="2"/>
          </rPr>
          <t xml:space="preserve">
Implied g = [r -FCF(t)/TV]/(1+FCF(t)/TV)</t>
        </r>
      </text>
    </comment>
  </commentList>
</comments>
</file>

<file path=xl/sharedStrings.xml><?xml version="1.0" encoding="utf-8"?>
<sst xmlns="http://schemas.openxmlformats.org/spreadsheetml/2006/main" count="402" uniqueCount="301">
  <si>
    <t>Company Name</t>
  </si>
  <si>
    <t>Ticker</t>
  </si>
  <si>
    <t>Last Historical Year</t>
  </si>
  <si>
    <t>ASSETS</t>
  </si>
  <si>
    <t>Current Assets</t>
  </si>
  <si>
    <t>Total Current Assets</t>
  </si>
  <si>
    <t>Non-Current Assets</t>
  </si>
  <si>
    <t>Total Non-Current Assets</t>
  </si>
  <si>
    <t>Total Assets</t>
  </si>
  <si>
    <t>LIABILITIES AND EQUITY</t>
  </si>
  <si>
    <t>Current Liabilities</t>
  </si>
  <si>
    <t>Total Current Liabilities</t>
  </si>
  <si>
    <t>Non-Current Liabilities</t>
  </si>
  <si>
    <t>Total Non-Current Liabilities</t>
  </si>
  <si>
    <t>Total Liabilities</t>
  </si>
  <si>
    <t>Equity</t>
  </si>
  <si>
    <t>Total Equity</t>
  </si>
  <si>
    <t>Total Liabilites &amp; Equity</t>
  </si>
  <si>
    <t>Balance Check</t>
  </si>
  <si>
    <t>Cash Generated from Operations</t>
  </si>
  <si>
    <t>CASH FLOWS FROM INVESTING ACTIVITIES</t>
  </si>
  <si>
    <t>CASH FLOWS FROM FINANCING ACTIVITIES</t>
  </si>
  <si>
    <t>Reconciliation Check vs BS Cash</t>
  </si>
  <si>
    <t>Depreciation &amp; amortization</t>
  </si>
  <si>
    <t>EBITDA</t>
  </si>
  <si>
    <t>Revenue growth</t>
  </si>
  <si>
    <t>Tax rate</t>
  </si>
  <si>
    <t>Growth Rates &amp; Margins</t>
  </si>
  <si>
    <t>Latest Closing Share Price</t>
  </si>
  <si>
    <t>Latest Closing Share Price Date</t>
  </si>
  <si>
    <t>Shares outstanding</t>
  </si>
  <si>
    <t>PROPERTY, PLANT &amp; EQUIPMENT</t>
  </si>
  <si>
    <t>Beginning of period</t>
  </si>
  <si>
    <t>Plus: Capital expenditures</t>
  </si>
  <si>
    <t>Less: Depreciation</t>
  </si>
  <si>
    <t>End of period</t>
  </si>
  <si>
    <t>IMPUTING TOTAL DEPRECIATION &amp; AMORTIZATION</t>
  </si>
  <si>
    <t>D&amp;A not related to PP&amp;E</t>
  </si>
  <si>
    <t>as % of revenue</t>
  </si>
  <si>
    <t xml:space="preserve">Depreciation &amp; Amortization - Total </t>
  </si>
  <si>
    <t>% growth</t>
  </si>
  <si>
    <t>INCOME STATEMENT</t>
  </si>
  <si>
    <t xml:space="preserve">Fiscal year  </t>
  </si>
  <si>
    <t>Fiscal year end date</t>
  </si>
  <si>
    <t>BALANCE SHEET</t>
  </si>
  <si>
    <t>CASH FLOW STATEMENT</t>
  </si>
  <si>
    <t>Discounted Cash Flow Valuation</t>
  </si>
  <si>
    <t>Most recent fiscal year end</t>
  </si>
  <si>
    <t>Discount rate (WACC)</t>
  </si>
  <si>
    <t>Link from WACC</t>
  </si>
  <si>
    <t>End of first fiscal year</t>
  </si>
  <si>
    <t>Share price (Public Co)</t>
  </si>
  <si>
    <t>Most recent quarter end date</t>
  </si>
  <si>
    <t>Share price date</t>
  </si>
  <si>
    <t xml:space="preserve">Valuation date </t>
  </si>
  <si>
    <t>Portion of First Year Cash Flows</t>
  </si>
  <si>
    <t>Unlevered Free Cash Flows</t>
  </si>
  <si>
    <t>LTM</t>
  </si>
  <si>
    <t>Actual</t>
  </si>
  <si>
    <t>Forecasts</t>
  </si>
  <si>
    <t>Fiscal year ended</t>
  </si>
  <si>
    <t>Revenue</t>
  </si>
  <si>
    <t>% margin</t>
  </si>
  <si>
    <t>EBIT</t>
  </si>
  <si>
    <t>Tax on EBIT</t>
  </si>
  <si>
    <t>NOPAT (aka EBIAT)</t>
  </si>
  <si>
    <t>Changes in net working capital</t>
  </si>
  <si>
    <t>Capital expenditures</t>
  </si>
  <si>
    <t>Unlevered free cash flows (UFCF)</t>
  </si>
  <si>
    <t>Net working capital (WC Assets - WC liabilities)</t>
  </si>
  <si>
    <t>Val date</t>
  </si>
  <si>
    <t xml:space="preserve">Yr 1 - Stub </t>
  </si>
  <si>
    <t>Year 2</t>
  </si>
  <si>
    <t>Year 3</t>
  </si>
  <si>
    <t>Year 4</t>
  </si>
  <si>
    <t>Year 5</t>
  </si>
  <si>
    <t>Date for discounting cash flows</t>
  </si>
  <si>
    <t>Unlevered free cash flows (UFCF) stub adjusted</t>
  </si>
  <si>
    <t>Present value of of unlevered free cash flows</t>
  </si>
  <si>
    <t>Terminal value - growth in perpetuity approach</t>
  </si>
  <si>
    <t>Terminal value - EBITDA multiple approach</t>
  </si>
  <si>
    <t>Long term growth rate</t>
  </si>
  <si>
    <t>Terminal year EBITDA</t>
  </si>
  <si>
    <t>EBITDA multiple</t>
  </si>
  <si>
    <t>Present value of terminal value</t>
  </si>
  <si>
    <t>Present value of stage 1 cash flows</t>
  </si>
  <si>
    <t>Total enterprise value (TEV)</t>
  </si>
  <si>
    <t>Enterprise value (stage 1 + 2)</t>
  </si>
  <si>
    <t>Terminal value as % of TEV</t>
  </si>
  <si>
    <t>Stage 1 cash flows as % of TEV</t>
  </si>
  <si>
    <t>Cash flows as % of TEV</t>
  </si>
  <si>
    <t>Implied TV exit EBITDA multiple</t>
  </si>
  <si>
    <t>Implied terminal growth rate</t>
  </si>
  <si>
    <t>Net debt</t>
  </si>
  <si>
    <t>Source doc</t>
  </si>
  <si>
    <t>Source date</t>
  </si>
  <si>
    <t>Date</t>
  </si>
  <si>
    <t>Shares</t>
  </si>
  <si>
    <t>Gross debt and equivalents</t>
  </si>
  <si>
    <t>Basic shares</t>
  </si>
  <si>
    <t>Debt</t>
  </si>
  <si>
    <t>Restricted stock / RSUs</t>
  </si>
  <si>
    <t>Convertible debt</t>
  </si>
  <si>
    <t>Options / warrants</t>
  </si>
  <si>
    <t>Preferred stock</t>
  </si>
  <si>
    <t>Noncontrolling (minority) interests</t>
  </si>
  <si>
    <t>Convertible preferred stock</t>
  </si>
  <si>
    <t>Nonoperating assets</t>
  </si>
  <si>
    <t>Net diluted shares outstanding</t>
  </si>
  <si>
    <t xml:space="preserve">Cash </t>
  </si>
  <si>
    <t xml:space="preserve">Equity investments </t>
  </si>
  <si>
    <t>Valuation</t>
  </si>
  <si>
    <t>Perpetuity</t>
  </si>
  <si>
    <t>Enterprise value</t>
  </si>
  <si>
    <t xml:space="preserve">Equity value </t>
  </si>
  <si>
    <t>Equity value per share</t>
  </si>
  <si>
    <t>Last twelve months (LTM)</t>
  </si>
  <si>
    <t>EV / Revenue</t>
  </si>
  <si>
    <t xml:space="preserve">EV / EBITDA </t>
  </si>
  <si>
    <t>EV / EBIT</t>
  </si>
  <si>
    <t>Year 1</t>
  </si>
  <si>
    <t>Outputs</t>
  </si>
  <si>
    <t>LTM EBITDA multiple</t>
  </si>
  <si>
    <t>Long term growth rate (g):</t>
  </si>
  <si>
    <t>WACC:</t>
  </si>
  <si>
    <t xml:space="preserve">Data </t>
  </si>
  <si>
    <t>Tables</t>
  </si>
  <si>
    <t>Exit EBITDA Multiple</t>
  </si>
  <si>
    <t>Equity value range</t>
  </si>
  <si>
    <t>Football field</t>
  </si>
  <si>
    <t>Low</t>
  </si>
  <si>
    <t>Diff.</t>
  </si>
  <si>
    <t>High</t>
  </si>
  <si>
    <t>52 Week Market High/Low</t>
  </si>
  <si>
    <t>WACC Buildup</t>
  </si>
  <si>
    <t>Cost of capital assumptions</t>
  </si>
  <si>
    <t>Cost of debt</t>
  </si>
  <si>
    <t>Cost of debt (after tax)</t>
  </si>
  <si>
    <t xml:space="preserve">Risk free rate </t>
  </si>
  <si>
    <t xml:space="preserve">Beta </t>
  </si>
  <si>
    <t>Market risk premium</t>
  </si>
  <si>
    <t>Cost of equity</t>
  </si>
  <si>
    <t>Capital weights (capital structure)</t>
  </si>
  <si>
    <t xml:space="preserve">Target </t>
  </si>
  <si>
    <t xml:space="preserve">Current </t>
  </si>
  <si>
    <t>(override)</t>
  </si>
  <si>
    <t>% of total</t>
  </si>
  <si>
    <t>Cost of capital (WACC)</t>
  </si>
  <si>
    <t>CapEx % of revenue</t>
  </si>
  <si>
    <t>EBITDA margin %</t>
  </si>
  <si>
    <t>Implied Share Price</t>
  </si>
  <si>
    <t>Upside / (Downside)</t>
  </si>
  <si>
    <t>Finance costs</t>
  </si>
  <si>
    <t>Changes in Working Capital</t>
  </si>
  <si>
    <t>Net change in cash and cash equivalents</t>
  </si>
  <si>
    <t>Cash and cash equivalents at 1 January</t>
  </si>
  <si>
    <t>Cash and cash equivalents at 31 December</t>
  </si>
  <si>
    <t>WORKING CAPITAL SCHEDULE</t>
  </si>
  <si>
    <t>Operating Working Capital Assets</t>
  </si>
  <si>
    <t>Total Operating WC Assets</t>
  </si>
  <si>
    <t>Net Working Capital</t>
  </si>
  <si>
    <t>NWC as % of revenue</t>
  </si>
  <si>
    <t>Change in NWC (− = cash used)</t>
  </si>
  <si>
    <t>Operating Working Capital Liabilities</t>
  </si>
  <si>
    <t>Total Operating WC Liabilities</t>
  </si>
  <si>
    <t>DEBT &amp; INTEREST SCHEDULE</t>
  </si>
  <si>
    <t>Average debt</t>
  </si>
  <si>
    <t>Effective interest rate</t>
  </si>
  <si>
    <t>EQUITY &amp; NCI ROLL-FORWARD</t>
  </si>
  <si>
    <t>Retained Earnings</t>
  </si>
  <si>
    <t>Less: Dividends &amp; distributions</t>
  </si>
  <si>
    <t>Other (FX-to-RE, reserve transfer)</t>
  </si>
  <si>
    <t>End of period (= BS)</t>
  </si>
  <si>
    <t>Debt securities (optional cash asset)</t>
  </si>
  <si>
    <t>Operating cash flow before working capital</t>
  </si>
  <si>
    <t>Net cash flow from financing activities</t>
  </si>
  <si>
    <t>Net cash flows used in investing activities</t>
  </si>
  <si>
    <t>Net cash flows from operating activities</t>
  </si>
  <si>
    <t>PP&amp;E depreciation as % of revenue</t>
  </si>
  <si>
    <t>Consolidated FS 2025</t>
  </si>
  <si>
    <t>12/31/2025</t>
  </si>
  <si>
    <t>Gross Margin % of Revenue</t>
  </si>
  <si>
    <t>Midyear adjustment?</t>
  </si>
  <si>
    <t>WC DRIVERS (DAYS)</t>
  </si>
  <si>
    <t>DIO (days, off COGS)</t>
  </si>
  <si>
    <t>DSO (days, off revenue)</t>
  </si>
  <si>
    <t>DPO (days, off COGS)</t>
  </si>
  <si>
    <t>Plus: Additions</t>
  </si>
  <si>
    <t>Less: Amortization</t>
  </si>
  <si>
    <t>Additions % revenue</t>
  </si>
  <si>
    <t>Amortization % revenue</t>
  </si>
  <si>
    <t>LEASE SCHEDULE</t>
  </si>
  <si>
    <t>ROU — Beginning</t>
  </si>
  <si>
    <t>ROU — End</t>
  </si>
  <si>
    <t>Lease liab — Beginning</t>
  </si>
  <si>
    <t>Lease liab — End</t>
  </si>
  <si>
    <t>ST share of liability</t>
  </si>
  <si>
    <t>Inventories</t>
  </si>
  <si>
    <t>Provision</t>
  </si>
  <si>
    <t>Benefits paid % of BOP</t>
  </si>
  <si>
    <t>Gross profit</t>
  </si>
  <si>
    <t>Operation profit</t>
  </si>
  <si>
    <t>Net Profit for the year</t>
  </si>
  <si>
    <t>Intangible assets</t>
  </si>
  <si>
    <t>Goodwill</t>
  </si>
  <si>
    <t>Trade receivables</t>
  </si>
  <si>
    <t>Employees’ benefit obligations</t>
  </si>
  <si>
    <t>Treasury shares</t>
  </si>
  <si>
    <t>Retained earnings</t>
  </si>
  <si>
    <t>Depreciation of property, plant and equipment</t>
  </si>
  <si>
    <t>Depreciation of right-of-use assets</t>
  </si>
  <si>
    <t>Service cost of employees’ benefits obligations</t>
  </si>
  <si>
    <t>Amortisation of intangibles assets</t>
  </si>
  <si>
    <t>Paid to purchase property, plant and equipment</t>
  </si>
  <si>
    <t>Paid to purchase intangible assets</t>
  </si>
  <si>
    <t>Proceeds from short term borrowings</t>
  </si>
  <si>
    <t>Lease payments</t>
  </si>
  <si>
    <t>Paid dividends</t>
  </si>
  <si>
    <t>Dividend payout ratio % of Net Income</t>
  </si>
  <si>
    <t>INTANGIBLE ASSETS</t>
  </si>
  <si>
    <t>Less: Benefits paid</t>
  </si>
  <si>
    <t>Net income</t>
  </si>
  <si>
    <t>Total Debt</t>
  </si>
  <si>
    <t>Edita Food Industries SAE</t>
  </si>
  <si>
    <t>EFID.CA</t>
  </si>
  <si>
    <t>Bakery</t>
  </si>
  <si>
    <t>Total</t>
  </si>
  <si>
    <t>Check vs IS (row 16)</t>
  </si>
  <si>
    <t>REVENUE BUILD BY SEGMENT (EGP)</t>
  </si>
  <si>
    <t>All amounts are shown in EGP, except per-share data, ratios, and shares outstanding</t>
  </si>
  <si>
    <t>Property, plant, equipment and projects under constructions</t>
  </si>
  <si>
    <t>Right of use assets</t>
  </si>
  <si>
    <t>Debtors and Other Debit Balance</t>
  </si>
  <si>
    <t>Due from related parties</t>
  </si>
  <si>
    <t>Treasury Bills</t>
  </si>
  <si>
    <t>Cash and bank balances</t>
  </si>
  <si>
    <t>Financial assets measured at fair value through P&amp;L</t>
  </si>
  <si>
    <t>Provisions</t>
  </si>
  <si>
    <t>Bank overdraft</t>
  </si>
  <si>
    <t>Trade and notes payables</t>
  </si>
  <si>
    <t>Creditors and other credit balances</t>
  </si>
  <si>
    <t>Current portion of borrowings</t>
  </si>
  <si>
    <t>Deferred government grants</t>
  </si>
  <si>
    <t>Current income tax liabilities</t>
  </si>
  <si>
    <t>Lease liabilities</t>
  </si>
  <si>
    <t>Borrowings</t>
  </si>
  <si>
    <t>Employee benefit obligations</t>
  </si>
  <si>
    <t>Deferred tax liabilities</t>
  </si>
  <si>
    <t>Paid up capital</t>
  </si>
  <si>
    <t>Legal reserve</t>
  </si>
  <si>
    <t>Cumulative translation reserve</t>
  </si>
  <si>
    <t>Transactions with non-controlling interest</t>
  </si>
  <si>
    <t>Total equity attributable to owners</t>
  </si>
  <si>
    <t>Non-controlling interest</t>
  </si>
  <si>
    <t>Cost of sales</t>
  </si>
  <si>
    <t>Other income / expense</t>
  </si>
  <si>
    <t>Distribution cost</t>
  </si>
  <si>
    <t>Administrative expenses</t>
  </si>
  <si>
    <t>Inventory write-down provision</t>
  </si>
  <si>
    <t>Expected credit losses - Due from related parties</t>
  </si>
  <si>
    <t>Employee Benefit Obligations provision</t>
  </si>
  <si>
    <t>Finance Income</t>
  </si>
  <si>
    <t>Foreign Exchange Gain / (Loss)</t>
  </si>
  <si>
    <t>Finance cost</t>
  </si>
  <si>
    <t>Profit before income tax</t>
  </si>
  <si>
    <t>Income tax expense</t>
  </si>
  <si>
    <t>Owners of the parent</t>
  </si>
  <si>
    <t>Cakes</t>
  </si>
  <si>
    <t>Rusks</t>
  </si>
  <si>
    <t>Wafers</t>
  </si>
  <si>
    <t>Candy</t>
  </si>
  <si>
    <t>Biscuits</t>
  </si>
  <si>
    <t>Frozen</t>
  </si>
  <si>
    <t>Raw Chips</t>
  </si>
  <si>
    <t>Other income / expense % Revenue</t>
  </si>
  <si>
    <t>Distribution cost % Revenue</t>
  </si>
  <si>
    <t>Administration Expenses % of Revenue</t>
  </si>
  <si>
    <t>Interest income</t>
  </si>
  <si>
    <t>Average earning assets</t>
  </si>
  <si>
    <t>Effective yield</t>
  </si>
  <si>
    <t>Finance income</t>
  </si>
  <si>
    <t>Net finance costs</t>
  </si>
  <si>
    <t>Interest-earning assets</t>
  </si>
  <si>
    <t>Non-controlling Interests</t>
  </si>
  <si>
    <t>Plus: NCI share of net income</t>
  </si>
  <si>
    <t>NCI % of total net income</t>
  </si>
  <si>
    <t>Plus: Net income to parent</t>
  </si>
  <si>
    <t>Other NCI Equity Movements &amp; Acquisitions</t>
  </si>
  <si>
    <t>ROU</t>
  </si>
  <si>
    <t>Less: ROU Amortization</t>
  </si>
  <si>
    <t>ROU Amortization % revenue</t>
  </si>
  <si>
    <t>Additons</t>
  </si>
  <si>
    <t>Additons leases % revenue</t>
  </si>
  <si>
    <t>Less: Lease Cash Payments</t>
  </si>
  <si>
    <t>Lease Cash Payments % revenue</t>
  </si>
  <si>
    <t>Plus: Lease Interest Accrued</t>
  </si>
  <si>
    <t>Lease Interest Accrued % revenue</t>
  </si>
  <si>
    <t>Deferred income tax (non-cash)</t>
  </si>
  <si>
    <t>Change in income tax payable</t>
  </si>
  <si>
    <t>Dividends paid to non-controlling interests</t>
  </si>
  <si>
    <t>Provision % of Rev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</si>
</sst>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5">
    <numFmt numFmtId="43" formatCode="_-* #,##0.00_-;\-* #,##0.00_-;_-* &quot;-&quot;??_-;_-@_-"/>
    <numFmt numFmtId="164" formatCode="&quot;$&quot;#,##0.00_);\(&quot;$&quot;#,##0.00\)"/>
    <numFmt numFmtId="165" formatCode="_(* #,##0_);_(* \(#,##0\);_(* &quot;-&quot;_);_(@_)"/>
    <numFmt numFmtId="166" formatCode="&quot;FY&quot;yy"/>
    <numFmt numFmtId="167" formatCode="0.0%"/>
    <numFmt numFmtId="168" formatCode="_(* #,##0.00_);_(* \(#,##0.00\);_(* \-??_);_(@_)"/>
    <numFmt numFmtId="169" formatCode="_(* #,##0_);_(* \(#,##0\);_(* \-??_);_(@_)"/>
    <numFmt numFmtId="170" formatCode="_(* #,##0_);_(* \(#,##0\);_(* \-_);_(@_)"/>
    <numFmt numFmtId="171" formatCode="_(* #,##0_);_(* \(#,##0\);_(* &quot;-&quot;??_);_(@_)"/>
    <numFmt numFmtId="172" formatCode="#,##0.000_);\(#,##0.000\)"/>
    <numFmt numFmtId="173" formatCode="m/d/yy;@"/>
    <numFmt numFmtId="174" formatCode="0\A;[Red]0\A"/>
    <numFmt numFmtId="175" formatCode="0\P_);\(0\P\)"/>
    <numFmt numFmtId="176" formatCode="0.0%_);\(0.0%\);@_)"/>
    <numFmt numFmtId="177" formatCode="_(#,##0.0%_);\(#,##0.0%\);_(&quot;–&quot;_)_%;_(@_)_%"/>
    <numFmt numFmtId="178" formatCode="0000\A"/>
    <numFmt numFmtId="179" formatCode="0000\P"/>
    <numFmt numFmtId="180" formatCode="#,##0_);\(#,##0\);@_)"/>
    <numFmt numFmtId="181" formatCode="0.0\x_);\(0.0\x\);@_)"/>
    <numFmt numFmtId="182" formatCode="0.000%_);\(0.000%\);@_)"/>
    <numFmt numFmtId="183" formatCode="#,##0.000_);\(#,##0.000\);@_)"/>
    <numFmt numFmtId="184" formatCode="_([$$]#,##0_)_%;\([$$]#,##0\)_%;_(&quot;–&quot;_)_%;_(@_)_%"/>
    <numFmt numFmtId="185" formatCode="&quot;$&quot;#,##0.00_);\(&quot;$&quot;#,##0.00\);@_)"/>
    <numFmt numFmtId="186" formatCode="_(0.0\x_)_';_(\(0.0\x\)_';_(&quot;–&quot;_)_%;_(@_)_%"/>
    <numFmt numFmtId="187" formatCode="_(0.0_)_'_x;_(\(0.0\)_';_(&quot;–&quot;_)_%;_(@_)_%"/>
    <numFmt numFmtId="188" formatCode="#,##0.00_);\(#,##0.00\);\-_);@_)"/>
    <numFmt numFmtId="189" formatCode="#,##0.0_);\(#,##0.0\);\-_);@_)"/>
    <numFmt numFmtId="190" formatCode="_(#,##0.00%_);\(#,##0.00%\);_(&quot;–&quot;_)_%;_(@_)_%"/>
    <numFmt numFmtId="191" formatCode="_(* #,##0.0_);_(* \(#,##0.0\);_(* \-??_);_(@_)"/>
    <numFmt numFmtId="192" formatCode="d/m/yy;@"/>
    <numFmt numFmtId="193" formatCode="[$-409]mmmmm/yy;@"/>
    <numFmt numFmtId="194" formatCode="[$EGP]\ #,##0.00_);[Red]\([$EGP]\ #,##0.00\)"/>
    <numFmt numFmtId="195" formatCode="[$EGP]\ #,##0.00_);\([$EGP]\ #,##0.00\)"/>
    <numFmt numFmtId="196" formatCode="&quot;EGP&quot;\ #,##0.00"/>
    <numFmt numFmtId="197" formatCode="_(* #,##0.0_);_(* \(#,##0.0\);_(* &quot;-&quot;_);_(@_)"/>
  </numFmts>
  <fonts count="41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family val="2"/>
      <scheme val="minor"/>
    </font>
    <font>
      <sz val="11"/>
      <color theme="1"/>
      <name val="Calibri"/>
      <family val="2"/>
    </font>
    <font>
      <i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name val="Calibri"/>
      <family val="2"/>
    </font>
    <font>
      <sz val="11"/>
      <color theme="4" tint="-0.249977111117893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1"/>
      <color rgb="FF000000"/>
      <name val="Calibri"/>
      <family val="2"/>
    </font>
    <font>
      <sz val="11"/>
      <color theme="0"/>
      <name val="Calibri"/>
      <family val="2"/>
    </font>
    <font>
      <i/>
      <sz val="11"/>
      <color theme="1"/>
      <name val="Calibri"/>
      <family val="2"/>
      <scheme val="minor"/>
    </font>
    <font>
      <i/>
      <sz val="9"/>
      <color rgb="FF000000"/>
      <name val="Calibri"/>
      <family val="2"/>
      <scheme val="minor"/>
    </font>
    <font>
      <sz val="10"/>
      <name val="Times New Roman"/>
      <family val="1"/>
    </font>
    <font>
      <sz val="11"/>
      <color rgb="FF008000"/>
      <name val="Calibri"/>
      <family val="2"/>
      <scheme val="minor"/>
    </font>
    <font>
      <u/>
      <sz val="11"/>
      <color theme="10"/>
      <name val="Calibri"/>
      <family val="2"/>
      <scheme val="minor"/>
    </font>
    <font>
      <u val="singleAccounting"/>
      <sz val="11"/>
      <color theme="1"/>
      <name val="Calibri"/>
      <family val="2"/>
      <scheme val="minor"/>
    </font>
    <font>
      <u val="singleAccounting"/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"/>
      <name val="Calibri"/>
      <family val="2"/>
      <scheme val="minor"/>
    </font>
    <font>
      <u/>
      <sz val="11"/>
      <color rgb="FF0000FF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rgb="FF000000"/>
      <name val="Calibri"/>
      <family val="2"/>
    </font>
    <font>
      <sz val="11"/>
      <color theme="4" tint="-0.249977111117893"/>
      <name val="Calibri"/>
      <family val="2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b/>
      <sz val="11"/>
      <color rgb="FF0070C0"/>
      <name val="Calibri"/>
      <family val="2"/>
      <scheme val="minor"/>
    </font>
    <font>
      <sz val="11"/>
      <color rgb="FF0000FF"/>
      <name val="Calibri"/>
      <family val="2"/>
    </font>
    <font>
      <b/>
      <i/>
      <sz val="11"/>
      <color theme="1"/>
      <name val="Calibri"/>
      <family val="2"/>
    </font>
    <font>
      <i/>
      <sz val="11"/>
      <name val="Calibri"/>
      <family val="2"/>
    </font>
    <font>
      <b/>
      <sz val="11"/>
      <color theme="4" tint="-0.249977111117893"/>
      <name val="Calibri"/>
      <family val="2"/>
    </font>
    <font>
      <sz val="11"/>
      <color theme="4" tint="-0.24997711111789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2F2FF"/>
        <bgColor rgb="FF000000"/>
      </patternFill>
    </fill>
    <fill>
      <patternFill patternType="solid">
        <fgColor rgb="FFCCFFFF"/>
        <bgColor indexed="64"/>
      </patternFill>
    </fill>
    <fill>
      <patternFill patternType="solid">
        <fgColor rgb="FFC0C0C0"/>
        <bgColor indexed="64"/>
      </patternFill>
    </fill>
  </fills>
  <borders count="26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hair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hair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</borders>
  <cellStyleXfs count="7">
    <xf numFmtId="0" fontId="0" fillId="0" borderId="0"/>
    <xf numFmtId="168" fontId="5" fillId="0" borderId="0"/>
    <xf numFmtId="9" fontId="5" fillId="0" borderId="0"/>
    <xf numFmtId="0" fontId="4" fillId="0" borderId="0"/>
    <xf numFmtId="37" fontId="20" fillId="0" borderId="0"/>
    <xf numFmtId="0" fontId="22" fillId="0" borderId="0" applyNumberFormat="0" applyFill="0" applyBorder="0" applyAlignment="0" applyProtection="0"/>
    <xf numFmtId="193" fontId="34" fillId="0" borderId="0"/>
  </cellStyleXfs>
  <cellXfs count="279">
    <xf numFmtId="0" fontId="0" fillId="0" borderId="0" xfId="0"/>
    <xf numFmtId="167" fontId="5" fillId="0" borderId="0" xfId="2" applyNumberFormat="1"/>
    <xf numFmtId="0" fontId="6" fillId="0" borderId="4" xfId="0" applyFont="1" applyBorder="1"/>
    <xf numFmtId="0" fontId="7" fillId="0" borderId="0" xfId="0" applyFont="1"/>
    <xf numFmtId="0" fontId="8" fillId="0" borderId="0" xfId="0" applyFont="1" applyAlignment="1">
      <alignment horizontal="center"/>
    </xf>
    <xf numFmtId="14" fontId="8" fillId="0" borderId="0" xfId="0" applyNumberFormat="1" applyFont="1" applyAlignment="1">
      <alignment horizontal="center"/>
    </xf>
    <xf numFmtId="0" fontId="9" fillId="0" borderId="0" xfId="0" applyFont="1"/>
    <xf numFmtId="0" fontId="10" fillId="0" borderId="0" xfId="0" applyFont="1" applyAlignment="1">
      <alignment horizontal="center" vertical="center"/>
    </xf>
    <xf numFmtId="0" fontId="9" fillId="0" borderId="4" xfId="0" applyFont="1" applyBorder="1"/>
    <xf numFmtId="0" fontId="9" fillId="0" borderId="5" xfId="0" applyFont="1" applyBorder="1"/>
    <xf numFmtId="170" fontId="13" fillId="0" borderId="0" xfId="1" applyNumberFormat="1" applyFont="1"/>
    <xf numFmtId="0" fontId="14" fillId="0" borderId="1" xfId="0" applyFont="1" applyBorder="1"/>
    <xf numFmtId="169" fontId="14" fillId="0" borderId="1" xfId="1" applyNumberFormat="1" applyFont="1" applyBorder="1"/>
    <xf numFmtId="0" fontId="14" fillId="0" borderId="0" xfId="0" applyFont="1"/>
    <xf numFmtId="169" fontId="14" fillId="0" borderId="0" xfId="1" applyNumberFormat="1" applyFont="1"/>
    <xf numFmtId="167" fontId="10" fillId="0" borderId="0" xfId="2" applyNumberFormat="1" applyFont="1"/>
    <xf numFmtId="0" fontId="14" fillId="0" borderId="3" xfId="0" applyFont="1" applyBorder="1"/>
    <xf numFmtId="0" fontId="9" fillId="0" borderId="0" xfId="0" applyFont="1" applyAlignment="1">
      <alignment horizontal="left" indent="1"/>
    </xf>
    <xf numFmtId="169" fontId="9" fillId="0" borderId="0" xfId="0" applyNumberFormat="1" applyFont="1"/>
    <xf numFmtId="169" fontId="9" fillId="0" borderId="0" xfId="1" applyNumberFormat="1" applyFont="1"/>
    <xf numFmtId="0" fontId="16" fillId="0" borderId="2" xfId="0" applyFont="1" applyBorder="1"/>
    <xf numFmtId="169" fontId="14" fillId="0" borderId="2" xfId="1" applyNumberFormat="1" applyFont="1" applyBorder="1"/>
    <xf numFmtId="167" fontId="9" fillId="0" borderId="0" xfId="2" applyNumberFormat="1" applyFont="1"/>
    <xf numFmtId="1" fontId="9" fillId="0" borderId="0" xfId="2" applyNumberFormat="1" applyFont="1"/>
    <xf numFmtId="0" fontId="12" fillId="0" borderId="0" xfId="0" applyFont="1" applyAlignment="1">
      <alignment horizontal="left" indent="1"/>
    </xf>
    <xf numFmtId="169" fontId="14" fillId="0" borderId="0" xfId="0" applyNumberFormat="1" applyFont="1"/>
    <xf numFmtId="0" fontId="14" fillId="0" borderId="1" xfId="0" applyFont="1" applyBorder="1" applyAlignment="1">
      <alignment horizontal="left"/>
    </xf>
    <xf numFmtId="170" fontId="9" fillId="0" borderId="0" xfId="0" applyNumberFormat="1" applyFont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left" indent="2"/>
    </xf>
    <xf numFmtId="170" fontId="15" fillId="0" borderId="3" xfId="1" applyNumberFormat="1" applyFont="1" applyBorder="1"/>
    <xf numFmtId="0" fontId="17" fillId="0" borderId="0" xfId="0" applyFont="1"/>
    <xf numFmtId="0" fontId="11" fillId="0" borderId="0" xfId="0" applyFont="1"/>
    <xf numFmtId="0" fontId="17" fillId="0" borderId="0" xfId="0" applyFont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0" fontId="12" fillId="0" borderId="0" xfId="0" applyFont="1"/>
    <xf numFmtId="170" fontId="12" fillId="0" borderId="0" xfId="0" applyNumberFormat="1" applyFont="1" applyAlignment="1">
      <alignment horizontal="center" vertical="center"/>
    </xf>
    <xf numFmtId="10" fontId="9" fillId="0" borderId="0" xfId="2" applyNumberFormat="1" applyFont="1"/>
    <xf numFmtId="0" fontId="14" fillId="0" borderId="3" xfId="0" applyFont="1" applyBorder="1" applyAlignment="1">
      <alignment horizontal="left"/>
    </xf>
    <xf numFmtId="0" fontId="6" fillId="0" borderId="6" xfId="0" applyFont="1" applyBorder="1"/>
    <xf numFmtId="0" fontId="0" fillId="0" borderId="6" xfId="0" applyBorder="1"/>
    <xf numFmtId="174" fontId="6" fillId="0" borderId="0" xfId="0" applyNumberFormat="1" applyFont="1"/>
    <xf numFmtId="175" fontId="6" fillId="0" borderId="0" xfId="0" applyNumberFormat="1" applyFont="1"/>
    <xf numFmtId="0" fontId="18" fillId="0" borderId="6" xfId="0" applyFont="1" applyBorder="1"/>
    <xf numFmtId="173" fontId="18" fillId="0" borderId="2" xfId="0" applyNumberFormat="1" applyFont="1" applyBorder="1"/>
    <xf numFmtId="0" fontId="15" fillId="0" borderId="0" xfId="0" applyFont="1"/>
    <xf numFmtId="173" fontId="18" fillId="0" borderId="6" xfId="0" applyNumberFormat="1" applyFont="1" applyBorder="1"/>
    <xf numFmtId="166" fontId="15" fillId="0" borderId="0" xfId="0" applyNumberFormat="1" applyFont="1" applyAlignment="1">
      <alignment horizontal="center" vertical="center"/>
    </xf>
    <xf numFmtId="0" fontId="0" fillId="0" borderId="3" xfId="0" applyBorder="1"/>
    <xf numFmtId="174" fontId="6" fillId="0" borderId="3" xfId="0" applyNumberFormat="1" applyFont="1" applyBorder="1"/>
    <xf numFmtId="175" fontId="6" fillId="0" borderId="3" xfId="0" applyNumberFormat="1" applyFont="1" applyBorder="1"/>
    <xf numFmtId="0" fontId="4" fillId="0" borderId="0" xfId="3"/>
    <xf numFmtId="0" fontId="6" fillId="0" borderId="4" xfId="3" applyFont="1" applyBorder="1"/>
    <xf numFmtId="0" fontId="4" fillId="0" borderId="4" xfId="3" applyBorder="1"/>
    <xf numFmtId="0" fontId="19" fillId="0" borderId="5" xfId="3" applyFont="1" applyBorder="1"/>
    <xf numFmtId="14" fontId="8" fillId="0" borderId="0" xfId="4" applyNumberFormat="1" applyFont="1" applyAlignment="1">
      <alignment horizontal="right"/>
    </xf>
    <xf numFmtId="176" fontId="21" fillId="0" borderId="0" xfId="3" applyNumberFormat="1" applyFont="1"/>
    <xf numFmtId="14" fontId="7" fillId="0" borderId="0" xfId="4" applyNumberFormat="1" applyFont="1" applyAlignment="1">
      <alignment horizontal="right"/>
    </xf>
    <xf numFmtId="14" fontId="8" fillId="0" borderId="0" xfId="3" applyNumberFormat="1" applyFont="1" applyAlignment="1">
      <alignment horizontal="right"/>
    </xf>
    <xf numFmtId="0" fontId="22" fillId="0" borderId="0" xfId="5" applyBorder="1"/>
    <xf numFmtId="177" fontId="7" fillId="0" borderId="0" xfId="3" applyNumberFormat="1" applyFont="1"/>
    <xf numFmtId="164" fontId="21" fillId="0" borderId="0" xfId="3" applyNumberFormat="1" applyFont="1" applyAlignment="1">
      <alignment horizontal="right"/>
    </xf>
    <xf numFmtId="0" fontId="6" fillId="0" borderId="7" xfId="3" applyFont="1" applyBorder="1"/>
    <xf numFmtId="0" fontId="4" fillId="0" borderId="7" xfId="3" applyBorder="1"/>
    <xf numFmtId="164" fontId="21" fillId="0" borderId="7" xfId="3" applyNumberFormat="1" applyFont="1" applyBorder="1" applyAlignment="1">
      <alignment horizontal="right"/>
    </xf>
    <xf numFmtId="0" fontId="23" fillId="0" borderId="0" xfId="3" applyFont="1" applyAlignment="1">
      <alignment horizontal="centerContinuous"/>
    </xf>
    <xf numFmtId="0" fontId="24" fillId="0" borderId="8" xfId="3" applyFont="1" applyBorder="1" applyAlignment="1">
      <alignment horizontal="centerContinuous"/>
    </xf>
    <xf numFmtId="0" fontId="18" fillId="0" borderId="0" xfId="3" applyFont="1"/>
    <xf numFmtId="14" fontId="4" fillId="0" borderId="0" xfId="3" applyNumberFormat="1" applyAlignment="1">
      <alignment horizontal="center"/>
    </xf>
    <xf numFmtId="180" fontId="7" fillId="0" borderId="0" xfId="3" applyNumberFormat="1" applyFont="1"/>
    <xf numFmtId="180" fontId="21" fillId="0" borderId="0" xfId="3" applyNumberFormat="1" applyFont="1"/>
    <xf numFmtId="0" fontId="4" fillId="0" borderId="0" xfId="3" applyAlignment="1">
      <alignment horizontal="left" indent="1"/>
    </xf>
    <xf numFmtId="0" fontId="6" fillId="0" borderId="0" xfId="3" applyFont="1"/>
    <xf numFmtId="180" fontId="25" fillId="0" borderId="0" xfId="3" applyNumberFormat="1" applyFont="1"/>
    <xf numFmtId="180" fontId="4" fillId="0" borderId="0" xfId="3" applyNumberFormat="1"/>
    <xf numFmtId="37" fontId="7" fillId="0" borderId="0" xfId="3" applyNumberFormat="1" applyFont="1"/>
    <xf numFmtId="180" fontId="21" fillId="0" borderId="7" xfId="3" applyNumberFormat="1" applyFont="1" applyBorder="1"/>
    <xf numFmtId="180" fontId="24" fillId="0" borderId="7" xfId="3" applyNumberFormat="1" applyFont="1" applyBorder="1" applyAlignment="1">
      <alignment horizontal="center"/>
    </xf>
    <xf numFmtId="180" fontId="24" fillId="0" borderId="0" xfId="3" applyNumberFormat="1" applyFont="1"/>
    <xf numFmtId="14" fontId="4" fillId="0" borderId="0" xfId="3" applyNumberFormat="1"/>
    <xf numFmtId="177" fontId="4" fillId="0" borderId="0" xfId="3" applyNumberFormat="1" applyAlignment="1">
      <alignment horizontal="center"/>
    </xf>
    <xf numFmtId="180" fontId="7" fillId="0" borderId="7" xfId="3" applyNumberFormat="1" applyFont="1" applyBorder="1"/>
    <xf numFmtId="0" fontId="25" fillId="0" borderId="0" xfId="3" applyFont="1"/>
    <xf numFmtId="177" fontId="8" fillId="0" borderId="0" xfId="3" applyNumberFormat="1" applyFont="1"/>
    <xf numFmtId="179" fontId="4" fillId="0" borderId="0" xfId="3" applyNumberFormat="1"/>
    <xf numFmtId="181" fontId="8" fillId="0" borderId="0" xfId="3" applyNumberFormat="1" applyFont="1"/>
    <xf numFmtId="180" fontId="6" fillId="0" borderId="0" xfId="3" applyNumberFormat="1" applyFont="1"/>
    <xf numFmtId="0" fontId="18" fillId="0" borderId="0" xfId="3" applyFont="1" applyAlignment="1">
      <alignment horizontal="left"/>
    </xf>
    <xf numFmtId="177" fontId="18" fillId="0" borderId="0" xfId="3" applyNumberFormat="1" applyFont="1"/>
    <xf numFmtId="182" fontId="18" fillId="0" borderId="0" xfId="3" applyNumberFormat="1" applyFont="1"/>
    <xf numFmtId="177" fontId="4" fillId="0" borderId="0" xfId="3" applyNumberFormat="1"/>
    <xf numFmtId="181" fontId="18" fillId="0" borderId="0" xfId="3" applyNumberFormat="1" applyFont="1"/>
    <xf numFmtId="176" fontId="4" fillId="0" borderId="0" xfId="3" quotePrefix="1" applyNumberFormat="1"/>
    <xf numFmtId="0" fontId="4" fillId="0" borderId="0" xfId="3" applyAlignment="1">
      <alignment horizontal="left"/>
    </xf>
    <xf numFmtId="0" fontId="26" fillId="0" borderId="0" xfId="3" applyFont="1"/>
    <xf numFmtId="0" fontId="26" fillId="0" borderId="0" xfId="3" applyFont="1" applyAlignment="1">
      <alignment horizontal="right"/>
    </xf>
    <xf numFmtId="0" fontId="26" fillId="0" borderId="0" xfId="3" applyFont="1" applyAlignment="1">
      <alignment horizontal="left" vertical="center"/>
    </xf>
    <xf numFmtId="14" fontId="7" fillId="0" borderId="0" xfId="3" applyNumberFormat="1" applyFont="1"/>
    <xf numFmtId="183" fontId="8" fillId="0" borderId="0" xfId="3" applyNumberFormat="1" applyFont="1"/>
    <xf numFmtId="172" fontId="8" fillId="0" borderId="0" xfId="3" applyNumberFormat="1" applyFont="1"/>
    <xf numFmtId="37" fontId="21" fillId="0" borderId="0" xfId="3" applyNumberFormat="1" applyFont="1"/>
    <xf numFmtId="172" fontId="21" fillId="0" borderId="0" xfId="3" applyNumberFormat="1" applyFont="1" applyAlignment="1">
      <alignment horizontal="right"/>
    </xf>
    <xf numFmtId="0" fontId="7" fillId="0" borderId="0" xfId="3" applyFont="1" applyAlignment="1">
      <alignment horizontal="left" indent="1"/>
    </xf>
    <xf numFmtId="0" fontId="6" fillId="0" borderId="0" xfId="3" applyFont="1" applyAlignment="1">
      <alignment horizontal="left"/>
    </xf>
    <xf numFmtId="184" fontId="8" fillId="0" borderId="0" xfId="3" applyNumberFormat="1" applyFont="1"/>
    <xf numFmtId="0" fontId="4" fillId="0" borderId="0" xfId="3" applyAlignment="1">
      <alignment horizontal="left" vertical="center" indent="1"/>
    </xf>
    <xf numFmtId="172" fontId="4" fillId="0" borderId="0" xfId="3" applyNumberFormat="1"/>
    <xf numFmtId="183" fontId="27" fillId="0" borderId="0" xfId="3" applyNumberFormat="1" applyFont="1"/>
    <xf numFmtId="0" fontId="6" fillId="0" borderId="0" xfId="3" applyFont="1" applyAlignment="1">
      <alignment vertical="center"/>
    </xf>
    <xf numFmtId="0" fontId="23" fillId="0" borderId="0" xfId="3" applyFont="1" applyAlignment="1">
      <alignment horizontal="right"/>
    </xf>
    <xf numFmtId="180" fontId="4" fillId="0" borderId="0" xfId="3" applyNumberFormat="1" applyAlignment="1">
      <alignment horizontal="right"/>
    </xf>
    <xf numFmtId="37" fontId="18" fillId="0" borderId="7" xfId="3" applyNumberFormat="1" applyFont="1" applyBorder="1" applyAlignment="1">
      <alignment horizontal="right"/>
    </xf>
    <xf numFmtId="37" fontId="4" fillId="0" borderId="0" xfId="3" applyNumberFormat="1" applyAlignment="1">
      <alignment horizontal="right"/>
    </xf>
    <xf numFmtId="187" fontId="4" fillId="0" borderId="0" xfId="3" applyNumberFormat="1" applyAlignment="1">
      <alignment horizontal="right"/>
    </xf>
    <xf numFmtId="0" fontId="7" fillId="2" borderId="0" xfId="3" applyFont="1" applyFill="1"/>
    <xf numFmtId="0" fontId="28" fillId="0" borderId="0" xfId="3" applyFont="1" applyAlignment="1">
      <alignment horizontal="centerContinuous"/>
    </xf>
    <xf numFmtId="0" fontId="23" fillId="0" borderId="9" xfId="3" applyFont="1" applyBorder="1" applyAlignment="1">
      <alignment horizontal="centerContinuous"/>
    </xf>
    <xf numFmtId="0" fontId="4" fillId="0" borderId="0" xfId="3" applyAlignment="1">
      <alignment horizontal="centerContinuous"/>
    </xf>
    <xf numFmtId="0" fontId="4" fillId="0" borderId="9" xfId="3" applyBorder="1" applyAlignment="1">
      <alignment horizontal="centerContinuous"/>
    </xf>
    <xf numFmtId="0" fontId="4" fillId="0" borderId="0" xfId="3" applyAlignment="1">
      <alignment horizontal="right"/>
    </xf>
    <xf numFmtId="167" fontId="8" fillId="3" borderId="11" xfId="3" applyNumberFormat="1" applyFont="1" applyFill="1" applyBorder="1"/>
    <xf numFmtId="181" fontId="4" fillId="0" borderId="12" xfId="3" applyNumberFormat="1" applyBorder="1" applyAlignment="1">
      <alignment horizontal="right"/>
    </xf>
    <xf numFmtId="188" fontId="4" fillId="0" borderId="0" xfId="3" applyNumberFormat="1"/>
    <xf numFmtId="188" fontId="4" fillId="0" borderId="9" xfId="3" applyNumberFormat="1" applyBorder="1"/>
    <xf numFmtId="181" fontId="4" fillId="0" borderId="0" xfId="3" applyNumberFormat="1" applyAlignment="1">
      <alignment horizontal="right"/>
    </xf>
    <xf numFmtId="167" fontId="8" fillId="3" borderId="14" xfId="3" applyNumberFormat="1" applyFont="1" applyFill="1" applyBorder="1" applyAlignment="1">
      <alignment horizontal="right"/>
    </xf>
    <xf numFmtId="0" fontId="25" fillId="2" borderId="0" xfId="3" applyFont="1" applyFill="1" applyAlignment="1">
      <alignment horizontal="center"/>
    </xf>
    <xf numFmtId="189" fontId="4" fillId="0" borderId="0" xfId="3" applyNumberFormat="1"/>
    <xf numFmtId="181" fontId="8" fillId="3" borderId="11" xfId="3" applyNumberFormat="1" applyFont="1" applyFill="1" applyBorder="1"/>
    <xf numFmtId="0" fontId="4" fillId="0" borderId="9" xfId="3" applyBorder="1"/>
    <xf numFmtId="0" fontId="6" fillId="4" borderId="0" xfId="3" applyFont="1" applyFill="1"/>
    <xf numFmtId="0" fontId="6" fillId="4" borderId="9" xfId="3" applyFont="1" applyFill="1" applyBorder="1"/>
    <xf numFmtId="190" fontId="4" fillId="0" borderId="0" xfId="3" applyNumberFormat="1"/>
    <xf numFmtId="0" fontId="4" fillId="0" borderId="10" xfId="3" applyBorder="1"/>
    <xf numFmtId="0" fontId="4" fillId="0" borderId="11" xfId="3" applyBorder="1" applyAlignment="1">
      <alignment horizontal="right"/>
    </xf>
    <xf numFmtId="0" fontId="4" fillId="0" borderId="13" xfId="3" applyBorder="1" applyAlignment="1">
      <alignment horizontal="right"/>
    </xf>
    <xf numFmtId="0" fontId="4" fillId="0" borderId="11" xfId="3" applyBorder="1"/>
    <xf numFmtId="0" fontId="4" fillId="0" borderId="15" xfId="3" applyBorder="1"/>
    <xf numFmtId="177" fontId="7" fillId="0" borderId="0" xfId="0" applyNumberFormat="1" applyFont="1"/>
    <xf numFmtId="0" fontId="25" fillId="0" borderId="7" xfId="3" applyFont="1" applyBorder="1"/>
    <xf numFmtId="0" fontId="7" fillId="0" borderId="7" xfId="3" applyFont="1" applyBorder="1"/>
    <xf numFmtId="0" fontId="25" fillId="0" borderId="7" xfId="3" applyFont="1" applyBorder="1" applyAlignment="1">
      <alignment horizontal="right"/>
    </xf>
    <xf numFmtId="0" fontId="26" fillId="0" borderId="0" xfId="3" applyFont="1" applyAlignment="1">
      <alignment horizontal="left"/>
    </xf>
    <xf numFmtId="0" fontId="6" fillId="0" borderId="6" xfId="3" applyFont="1" applyBorder="1"/>
    <xf numFmtId="0" fontId="6" fillId="0" borderId="10" xfId="3" applyFont="1" applyBorder="1"/>
    <xf numFmtId="10" fontId="8" fillId="0" borderId="0" xfId="3" applyNumberFormat="1" applyFont="1"/>
    <xf numFmtId="190" fontId="21" fillId="0" borderId="7" xfId="3" applyNumberFormat="1" applyFont="1" applyBorder="1"/>
    <xf numFmtId="190" fontId="7" fillId="0" borderId="0" xfId="3" applyNumberFormat="1" applyFont="1"/>
    <xf numFmtId="10" fontId="8" fillId="0" borderId="7" xfId="3" applyNumberFormat="1" applyFont="1" applyBorder="1"/>
    <xf numFmtId="10" fontId="7" fillId="0" borderId="0" xfId="3" applyNumberFormat="1" applyFont="1"/>
    <xf numFmtId="167" fontId="7" fillId="0" borderId="0" xfId="3" applyNumberFormat="1" applyFont="1"/>
    <xf numFmtId="0" fontId="4" fillId="0" borderId="6" xfId="3" applyBorder="1"/>
    <xf numFmtId="167" fontId="24" fillId="0" borderId="0" xfId="3" applyNumberFormat="1" applyFont="1" applyAlignment="1">
      <alignment horizontal="right"/>
    </xf>
    <xf numFmtId="9" fontId="8" fillId="0" borderId="0" xfId="3" applyNumberFormat="1" applyFont="1"/>
    <xf numFmtId="176" fontId="4" fillId="0" borderId="0" xfId="3" applyNumberFormat="1"/>
    <xf numFmtId="9" fontId="7" fillId="0" borderId="0" xfId="3" applyNumberFormat="1" applyFont="1"/>
    <xf numFmtId="0" fontId="6" fillId="0" borderId="11" xfId="3" applyFont="1" applyBorder="1"/>
    <xf numFmtId="176" fontId="6" fillId="0" borderId="13" xfId="3" applyNumberFormat="1" applyFont="1" applyBorder="1"/>
    <xf numFmtId="180" fontId="7" fillId="0" borderId="0" xfId="0" applyNumberFormat="1" applyFont="1"/>
    <xf numFmtId="14" fontId="0" fillId="0" borderId="0" xfId="0" applyNumberFormat="1"/>
    <xf numFmtId="39" fontId="8" fillId="0" borderId="0" xfId="3" applyNumberFormat="1" applyFont="1"/>
    <xf numFmtId="170" fontId="15" fillId="0" borderId="0" xfId="1" applyNumberFormat="1" applyFont="1"/>
    <xf numFmtId="170" fontId="14" fillId="0" borderId="0" xfId="0" applyNumberFormat="1" applyFont="1"/>
    <xf numFmtId="185" fontId="0" fillId="0" borderId="6" xfId="0" applyNumberFormat="1" applyBorder="1" applyAlignment="1">
      <alignment horizontal="right"/>
    </xf>
    <xf numFmtId="185" fontId="0" fillId="0" borderId="12" xfId="0" applyNumberFormat="1" applyBorder="1"/>
    <xf numFmtId="181" fontId="29" fillId="3" borderId="11" xfId="3" applyNumberFormat="1" applyFont="1" applyFill="1" applyBorder="1"/>
    <xf numFmtId="0" fontId="0" fillId="0" borderId="16" xfId="0" quotePrefix="1" applyBorder="1"/>
    <xf numFmtId="39" fontId="0" fillId="0" borderId="0" xfId="0" applyNumberFormat="1"/>
    <xf numFmtId="39" fontId="0" fillId="0" borderId="17" xfId="0" applyNumberFormat="1" applyBorder="1"/>
    <xf numFmtId="0" fontId="0" fillId="0" borderId="16" xfId="0" applyBorder="1"/>
    <xf numFmtId="0" fontId="0" fillId="0" borderId="18" xfId="0" applyBorder="1"/>
    <xf numFmtId="39" fontId="0" fillId="0" borderId="6" xfId="0" applyNumberFormat="1" applyBorder="1"/>
    <xf numFmtId="39" fontId="7" fillId="0" borderId="6" xfId="0" applyNumberFormat="1" applyFont="1" applyBorder="1"/>
    <xf numFmtId="39" fontId="0" fillId="0" borderId="12" xfId="0" applyNumberFormat="1" applyBorder="1"/>
    <xf numFmtId="0" fontId="0" fillId="0" borderId="9" xfId="0" applyBorder="1"/>
    <xf numFmtId="39" fontId="7" fillId="0" borderId="0" xfId="0" applyNumberFormat="1" applyFont="1"/>
    <xf numFmtId="39" fontId="7" fillId="0" borderId="17" xfId="0" applyNumberFormat="1" applyFont="1" applyBorder="1"/>
    <xf numFmtId="0" fontId="0" fillId="0" borderId="19" xfId="0" applyBorder="1"/>
    <xf numFmtId="39" fontId="7" fillId="0" borderId="12" xfId="0" applyNumberFormat="1" applyFont="1" applyBorder="1"/>
    <xf numFmtId="178" fontId="6" fillId="0" borderId="20" xfId="3" applyNumberFormat="1" applyFont="1" applyBorder="1"/>
    <xf numFmtId="180" fontId="21" fillId="0" borderId="21" xfId="3" applyNumberFormat="1" applyFont="1" applyBorder="1"/>
    <xf numFmtId="9" fontId="5" fillId="0" borderId="21" xfId="2" applyBorder="1"/>
    <xf numFmtId="180" fontId="7" fillId="0" borderId="21" xfId="3" applyNumberFormat="1" applyFont="1" applyBorder="1"/>
    <xf numFmtId="176" fontId="21" fillId="0" borderId="21" xfId="3" applyNumberFormat="1" applyFont="1" applyBorder="1"/>
    <xf numFmtId="180" fontId="25" fillId="0" borderId="22" xfId="3" applyNumberFormat="1" applyFont="1" applyBorder="1"/>
    <xf numFmtId="179" fontId="6" fillId="0" borderId="23" xfId="3" applyNumberFormat="1" applyFont="1" applyBorder="1"/>
    <xf numFmtId="179" fontId="6" fillId="0" borderId="20" xfId="3" applyNumberFormat="1" applyFont="1" applyBorder="1"/>
    <xf numFmtId="14" fontId="19" fillId="0" borderId="5" xfId="3" applyNumberFormat="1" applyFont="1" applyBorder="1"/>
    <xf numFmtId="169" fontId="5" fillId="0" borderId="0" xfId="1" applyNumberFormat="1"/>
    <xf numFmtId="170" fontId="9" fillId="0" borderId="0" xfId="0" applyNumberFormat="1" applyFont="1" applyAlignment="1">
      <alignment horizontal="center" vertical="center"/>
    </xf>
    <xf numFmtId="170" fontId="0" fillId="0" borderId="0" xfId="0" applyNumberFormat="1"/>
    <xf numFmtId="169" fontId="31" fillId="0" borderId="0" xfId="1" applyNumberFormat="1" applyFont="1"/>
    <xf numFmtId="180" fontId="8" fillId="0" borderId="0" xfId="3" applyNumberFormat="1" applyFont="1"/>
    <xf numFmtId="3" fontId="6" fillId="0" borderId="0" xfId="3" applyNumberFormat="1" applyFont="1"/>
    <xf numFmtId="14" fontId="8" fillId="0" borderId="0" xfId="3" applyNumberFormat="1" applyFont="1" applyAlignment="1">
      <alignment horizontal="left" vertical="center"/>
    </xf>
    <xf numFmtId="0" fontId="8" fillId="0" borderId="0" xfId="3" applyFont="1" applyAlignment="1">
      <alignment horizontal="left" vertical="center"/>
    </xf>
    <xf numFmtId="167" fontId="7" fillId="3" borderId="14" xfId="0" applyNumberFormat="1" applyFont="1" applyFill="1" applyBorder="1" applyAlignment="1">
      <alignment horizontal="right"/>
    </xf>
    <xf numFmtId="167" fontId="7" fillId="3" borderId="24" xfId="0" applyNumberFormat="1" applyFont="1" applyFill="1" applyBorder="1" applyAlignment="1">
      <alignment horizontal="right"/>
    </xf>
    <xf numFmtId="167" fontId="7" fillId="3" borderId="10" xfId="0" applyNumberFormat="1" applyFont="1" applyFill="1" applyBorder="1"/>
    <xf numFmtId="167" fontId="7" fillId="3" borderId="11" xfId="0" applyNumberFormat="1" applyFont="1" applyFill="1" applyBorder="1"/>
    <xf numFmtId="191" fontId="5" fillId="0" borderId="0" xfId="1" applyNumberFormat="1"/>
    <xf numFmtId="0" fontId="14" fillId="0" borderId="0" xfId="0" applyFont="1" applyAlignment="1">
      <alignment horizontal="left"/>
    </xf>
    <xf numFmtId="171" fontId="13" fillId="0" borderId="0" xfId="0" applyNumberFormat="1" applyFont="1"/>
    <xf numFmtId="165" fontId="14" fillId="0" borderId="0" xfId="0" applyNumberFormat="1" applyFont="1" applyAlignment="1">
      <alignment horizontal="center" vertical="center"/>
    </xf>
    <xf numFmtId="165" fontId="12" fillId="0" borderId="0" xfId="1" applyNumberFormat="1" applyFont="1"/>
    <xf numFmtId="165" fontId="9" fillId="0" borderId="0" xfId="0" applyNumberFormat="1" applyFont="1" applyAlignment="1">
      <alignment horizontal="center" vertical="center"/>
    </xf>
    <xf numFmtId="165" fontId="9" fillId="0" borderId="0" xfId="0" applyNumberFormat="1" applyFont="1"/>
    <xf numFmtId="165" fontId="15" fillId="0" borderId="0" xfId="1" applyNumberFormat="1" applyFont="1"/>
    <xf numFmtId="165" fontId="14" fillId="0" borderId="0" xfId="1" applyNumberFormat="1" applyFont="1"/>
    <xf numFmtId="165" fontId="12" fillId="0" borderId="0" xfId="0" applyNumberFormat="1" applyFont="1"/>
    <xf numFmtId="165" fontId="15" fillId="0" borderId="0" xfId="0" applyNumberFormat="1" applyFont="1" applyAlignment="1">
      <alignment horizontal="center" vertical="center"/>
    </xf>
    <xf numFmtId="9" fontId="5" fillId="0" borderId="0" xfId="2"/>
    <xf numFmtId="9" fontId="31" fillId="0" borderId="0" xfId="2" applyFont="1"/>
    <xf numFmtId="167" fontId="12" fillId="0" borderId="3" xfId="2" applyNumberFormat="1" applyFont="1" applyBorder="1"/>
    <xf numFmtId="167" fontId="7" fillId="0" borderId="0" xfId="0" applyNumberFormat="1" applyFont="1"/>
    <xf numFmtId="167" fontId="31" fillId="0" borderId="0" xfId="2" applyNumberFormat="1" applyFont="1"/>
    <xf numFmtId="170" fontId="14" fillId="0" borderId="0" xfId="0" applyNumberFormat="1" applyFont="1" applyAlignment="1">
      <alignment horizontal="center" vertical="center"/>
    </xf>
    <xf numFmtId="0" fontId="3" fillId="0" borderId="0" xfId="3" applyFont="1"/>
    <xf numFmtId="37" fontId="3" fillId="0" borderId="0" xfId="3" applyNumberFormat="1" applyFont="1" applyAlignment="1">
      <alignment horizontal="right"/>
    </xf>
    <xf numFmtId="169" fontId="14" fillId="0" borderId="0" xfId="0" applyNumberFormat="1" applyFont="1" applyAlignment="1">
      <alignment horizontal="center" vertical="center"/>
    </xf>
    <xf numFmtId="169" fontId="15" fillId="0" borderId="0" xfId="0" applyNumberFormat="1" applyFont="1" applyAlignment="1">
      <alignment horizontal="center" vertical="center"/>
    </xf>
    <xf numFmtId="169" fontId="15" fillId="0" borderId="0" xfId="1" applyNumberFormat="1" applyFont="1"/>
    <xf numFmtId="176" fontId="0" fillId="0" borderId="0" xfId="0" quotePrefix="1" applyNumberFormat="1"/>
    <xf numFmtId="167" fontId="7" fillId="3" borderId="25" xfId="0" applyNumberFormat="1" applyFont="1" applyFill="1" applyBorder="1"/>
    <xf numFmtId="181" fontId="7" fillId="0" borderId="0" xfId="3" applyNumberFormat="1" applyFont="1"/>
    <xf numFmtId="181" fontId="29" fillId="3" borderId="25" xfId="3" applyNumberFormat="1" applyFont="1" applyFill="1" applyBorder="1"/>
    <xf numFmtId="0" fontId="6" fillId="0" borderId="0" xfId="0" applyFont="1"/>
    <xf numFmtId="165" fontId="18" fillId="0" borderId="0" xfId="0" applyNumberFormat="1" applyFont="1"/>
    <xf numFmtId="169" fontId="12" fillId="0" borderId="0" xfId="1" applyNumberFormat="1" applyFont="1"/>
    <xf numFmtId="171" fontId="9" fillId="0" borderId="0" xfId="0" applyNumberFormat="1" applyFont="1"/>
    <xf numFmtId="167" fontId="9" fillId="0" borderId="0" xfId="2" applyNumberFormat="1" applyFont="1" applyAlignment="1">
      <alignment horizontal="left"/>
    </xf>
    <xf numFmtId="0" fontId="9" fillId="0" borderId="0" xfId="0" applyFont="1" applyAlignment="1">
      <alignment horizontal="left"/>
    </xf>
    <xf numFmtId="171" fontId="14" fillId="0" borderId="0" xfId="1" applyNumberFormat="1" applyFont="1"/>
    <xf numFmtId="0" fontId="16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192" fontId="18" fillId="0" borderId="2" xfId="0" applyNumberFormat="1" applyFont="1" applyBorder="1"/>
    <xf numFmtId="192" fontId="2" fillId="0" borderId="2" xfId="0" applyNumberFormat="1" applyFont="1" applyBorder="1" applyAlignment="1">
      <alignment horizontal="center"/>
    </xf>
    <xf numFmtId="170" fontId="14" fillId="0" borderId="3" xfId="0" applyNumberFormat="1" applyFont="1" applyBorder="1" applyAlignment="1">
      <alignment horizontal="center" vertical="center"/>
    </xf>
    <xf numFmtId="14" fontId="19" fillId="0" borderId="0" xfId="0" applyNumberFormat="1" applyFont="1" applyAlignment="1">
      <alignment horizontal="left"/>
    </xf>
    <xf numFmtId="170" fontId="12" fillId="0" borderId="0" xfId="1" applyNumberFormat="1" applyFont="1"/>
    <xf numFmtId="170" fontId="13" fillId="0" borderId="0" xfId="0" applyNumberFormat="1" applyFont="1"/>
    <xf numFmtId="186" fontId="0" fillId="0" borderId="0" xfId="0" applyNumberFormat="1" applyAlignment="1">
      <alignment horizontal="right"/>
    </xf>
    <xf numFmtId="187" fontId="0" fillId="0" borderId="0" xfId="0" applyNumberFormat="1" applyAlignment="1">
      <alignment horizontal="right"/>
    </xf>
    <xf numFmtId="169" fontId="13" fillId="0" borderId="0" xfId="1" applyNumberFormat="1" applyFont="1"/>
    <xf numFmtId="1" fontId="9" fillId="0" borderId="0" xfId="0" applyNumberFormat="1" applyFont="1"/>
    <xf numFmtId="1" fontId="9" fillId="0" borderId="0" xfId="0" applyNumberFormat="1" applyFont="1" applyAlignment="1">
      <alignment horizontal="center" vertical="center"/>
    </xf>
    <xf numFmtId="0" fontId="18" fillId="0" borderId="0" xfId="0" applyFont="1"/>
    <xf numFmtId="173" fontId="18" fillId="0" borderId="0" xfId="0" applyNumberFormat="1" applyFont="1"/>
    <xf numFmtId="10" fontId="13" fillId="0" borderId="0" xfId="2" applyNumberFormat="1" applyFont="1"/>
    <xf numFmtId="1" fontId="9" fillId="0" borderId="0" xfId="0" applyNumberFormat="1" applyFont="1" applyAlignment="1">
      <alignment horizontal="right" vertical="center"/>
    </xf>
    <xf numFmtId="0" fontId="35" fillId="0" borderId="0" xfId="0" applyFont="1" applyAlignment="1">
      <alignment horizontal="center"/>
    </xf>
    <xf numFmtId="167" fontId="13" fillId="0" borderId="0" xfId="2" applyNumberFormat="1" applyFont="1"/>
    <xf numFmtId="169" fontId="36" fillId="0" borderId="0" xfId="1" applyNumberFormat="1" applyFont="1" applyAlignment="1">
      <alignment horizontal="center" vertical="center"/>
    </xf>
    <xf numFmtId="0" fontId="9" fillId="0" borderId="6" xfId="0" applyFont="1" applyBorder="1"/>
    <xf numFmtId="192" fontId="1" fillId="0" borderId="2" xfId="0" applyNumberFormat="1" applyFont="1" applyBorder="1"/>
    <xf numFmtId="173" fontId="1" fillId="0" borderId="6" xfId="0" applyNumberFormat="1" applyFont="1" applyBorder="1"/>
    <xf numFmtId="0" fontId="12" fillId="0" borderId="0" xfId="0" applyFont="1" applyAlignment="1">
      <alignment horizontal="center" vertical="center"/>
    </xf>
    <xf numFmtId="173" fontId="1" fillId="0" borderId="2" xfId="0" applyNumberFormat="1" applyFont="1" applyBorder="1"/>
    <xf numFmtId="165" fontId="1" fillId="0" borderId="0" xfId="0" applyNumberFormat="1" applyFont="1"/>
    <xf numFmtId="165" fontId="12" fillId="0" borderId="0" xfId="0" applyNumberFormat="1" applyFont="1" applyAlignment="1">
      <alignment horizontal="center" vertical="center"/>
    </xf>
    <xf numFmtId="9" fontId="9" fillId="0" borderId="0" xfId="2" applyFont="1"/>
    <xf numFmtId="173" fontId="1" fillId="0" borderId="0" xfId="0" applyNumberFormat="1" applyFont="1"/>
    <xf numFmtId="194" fontId="8" fillId="0" borderId="0" xfId="0" applyNumberFormat="1" applyFont="1" applyAlignment="1">
      <alignment horizontal="center"/>
    </xf>
    <xf numFmtId="195" fontId="8" fillId="0" borderId="0" xfId="3" applyNumberFormat="1" applyFont="1"/>
    <xf numFmtId="196" fontId="29" fillId="0" borderId="0" xfId="0" applyNumberFormat="1" applyFont="1" applyAlignment="1">
      <alignment horizontal="right" vertical="center"/>
    </xf>
    <xf numFmtId="196" fontId="8" fillId="0" borderId="0" xfId="0" applyNumberFormat="1" applyFont="1" applyAlignment="1">
      <alignment horizontal="right" vertical="center"/>
    </xf>
    <xf numFmtId="0" fontId="8" fillId="0" borderId="0" xfId="0" applyFont="1" applyAlignment="1">
      <alignment horizontal="left" vertical="center"/>
    </xf>
    <xf numFmtId="0" fontId="37" fillId="0" borderId="0" xfId="0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165" fontId="15" fillId="0" borderId="3" xfId="1" applyNumberFormat="1" applyFont="1" applyBorder="1"/>
    <xf numFmtId="0" fontId="14" fillId="0" borderId="0" xfId="0" applyFont="1" applyAlignment="1">
      <alignment horizontal="left" indent="1"/>
    </xf>
    <xf numFmtId="169" fontId="39" fillId="0" borderId="0" xfId="1" applyNumberFormat="1" applyFont="1"/>
    <xf numFmtId="197" fontId="13" fillId="0" borderId="0" xfId="1" applyNumberFormat="1" applyFont="1"/>
    <xf numFmtId="43" fontId="12" fillId="0" borderId="0" xfId="0" applyNumberFormat="1" applyFont="1"/>
    <xf numFmtId="1" fontId="13" fillId="0" borderId="0" xfId="0" applyNumberFormat="1" applyFont="1" applyAlignment="1">
      <alignment horizontal="right" vertical="center"/>
    </xf>
    <xf numFmtId="10" fontId="5" fillId="0" borderId="0" xfId="2" applyNumberFormat="1"/>
    <xf numFmtId="10" fontId="31" fillId="0" borderId="0" xfId="2" applyNumberFormat="1" applyFont="1"/>
    <xf numFmtId="190" fontId="40" fillId="0" borderId="7" xfId="3" applyNumberFormat="1" applyFont="1" applyBorder="1"/>
    <xf numFmtId="9" fontId="4" fillId="0" borderId="0" xfId="3" applyNumberFormat="1"/>
  </cellXfs>
  <cellStyles count="7">
    <cellStyle name="Comma" xfId="1" builtinId="3"/>
    <cellStyle name="Hyperlink" xfId="5" builtinId="8"/>
    <cellStyle name="Normal" xfId="0" builtinId="0"/>
    <cellStyle name="Normal 15" xfId="6" xr:uid="{6DDD7A4B-57F6-404C-BA97-B891B271587B}"/>
    <cellStyle name="Normal 2" xfId="3" xr:uid="{937EC6E3-AE83-4BBC-ACEF-6FAAD38BC45D}"/>
    <cellStyle name="Normal_DCF_Model" xfId="4" xr:uid="{EB47B55B-6DFA-4D8F-B164-61C0BEC4F72F}"/>
    <cellStyle name="Percent" xfId="2" builtinId="5"/>
  </cellStyles>
  <dxfs count="2">
    <dxf>
      <font>
        <b/>
        <i val="0"/>
      </font>
      <fill>
        <patternFill patternType="solid">
          <bgColor theme="2"/>
        </patternFill>
      </fill>
      <border>
        <left/>
        <right/>
        <top/>
        <bottom/>
      </border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F4F"/>
      <rgbColor rgb="FF222A3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/>
            </a:pPr>
            <a:r>
              <a:rPr lang="en-US" sz="1100"/>
              <a:t>DCF Equity Valuation Range </a:t>
            </a:r>
          </a:p>
        </c:rich>
      </c:tx>
      <c:layout>
        <c:manualLayout>
          <c:xMode val="edge"/>
          <c:yMode val="edge"/>
          <c:x val="0.31291626892699836"/>
          <c:y val="0"/>
        </c:manualLayout>
      </c:layout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noFill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DCF!$B$128:$B$130</c:f>
              <c:strCache>
                <c:ptCount val="3"/>
                <c:pt idx="0">
                  <c:v>DCF Value at 4.4x-6.4x Exit EBITDA Range at 20.1% WACC</c:v>
                </c:pt>
                <c:pt idx="1">
                  <c:v>DCF Value at 9.0%-11.0% Perpetuity Range at 20.1% WACC</c:v>
                </c:pt>
                <c:pt idx="2">
                  <c:v>52 Week Market High/Low</c:v>
                </c:pt>
              </c:strCache>
            </c:strRef>
          </c:cat>
          <c:val>
            <c:numRef>
              <c:f>DCF!$C$128:$C$130</c:f>
              <c:numCache>
                <c:formatCode>#,##0.00_);\(#,##0.00\)</c:formatCode>
                <c:ptCount val="3"/>
                <c:pt idx="0">
                  <c:v>19.746084230263545</c:v>
                </c:pt>
                <c:pt idx="1">
                  <c:v>21.556002187431066</c:v>
                </c:pt>
                <c:pt idx="2">
                  <c:v>12.16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83-4E91-8D66-944AAAC33F38}"/>
            </c:ext>
          </c:extLst>
        </c:ser>
        <c:ser>
          <c:idx val="1"/>
          <c:order val="1"/>
          <c:invertIfNegative val="0"/>
          <c:cat>
            <c:strRef>
              <c:f>DCF!$B$128:$B$130</c:f>
              <c:strCache>
                <c:ptCount val="3"/>
                <c:pt idx="0">
                  <c:v>DCF Value at 4.4x-6.4x Exit EBITDA Range at 20.1% WACC</c:v>
                </c:pt>
                <c:pt idx="1">
                  <c:v>DCF Value at 9.0%-11.0% Perpetuity Range at 20.1% WACC</c:v>
                </c:pt>
                <c:pt idx="2">
                  <c:v>52 Week Market High/Low</c:v>
                </c:pt>
              </c:strCache>
            </c:strRef>
          </c:cat>
          <c:val>
            <c:numRef>
              <c:f>DCF!$D$128:$D$130</c:f>
              <c:numCache>
                <c:formatCode>#,##0.00_);\(#,##0.00\)</c:formatCode>
                <c:ptCount val="3"/>
                <c:pt idx="0">
                  <c:v>2.88832098491865</c:v>
                </c:pt>
                <c:pt idx="1">
                  <c:v>1.577735960774131</c:v>
                </c:pt>
                <c:pt idx="2">
                  <c:v>20.34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83-4E91-8D66-944AAAC33F38}"/>
            </c:ext>
          </c:extLst>
        </c:ser>
        <c:ser>
          <c:idx val="2"/>
          <c:order val="2"/>
          <c:spPr>
            <a:noFill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DCF!$B$128:$B$130</c:f>
              <c:strCache>
                <c:ptCount val="3"/>
                <c:pt idx="0">
                  <c:v>DCF Value at 4.4x-6.4x Exit EBITDA Range at 20.1% WACC</c:v>
                </c:pt>
                <c:pt idx="1">
                  <c:v>DCF Value at 9.0%-11.0% Perpetuity Range at 20.1% WACC</c:v>
                </c:pt>
                <c:pt idx="2">
                  <c:v>52 Week Market High/Low</c:v>
                </c:pt>
              </c:strCache>
            </c:strRef>
          </c:cat>
          <c:val>
            <c:numRef>
              <c:f>DCF!$E$128:$E$130</c:f>
              <c:numCache>
                <c:formatCode>#,##0.00_);\(#,##0.00\)</c:formatCode>
                <c:ptCount val="3"/>
                <c:pt idx="0">
                  <c:v>22.634405215182195</c:v>
                </c:pt>
                <c:pt idx="1">
                  <c:v>23.133738148205197</c:v>
                </c:pt>
                <c:pt idx="2">
                  <c:v>32.5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83-4E91-8D66-944AAAC33F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639680"/>
        <c:axId val="99641216"/>
      </c:barChart>
      <c:catAx>
        <c:axId val="9963968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99641216"/>
        <c:crosses val="autoZero"/>
        <c:auto val="1"/>
        <c:lblAlgn val="ctr"/>
        <c:lblOffset val="100"/>
        <c:noMultiLvlLbl val="0"/>
      </c:catAx>
      <c:valAx>
        <c:axId val="99641216"/>
        <c:scaling>
          <c:orientation val="minMax"/>
          <c:max val="400"/>
          <c:min val="100"/>
        </c:scaling>
        <c:delete val="0"/>
        <c:axPos val="l"/>
        <c:numFmt formatCode="#,##0.00_);\(#,##0.00\)" sourceLinked="1"/>
        <c:majorTickMark val="out"/>
        <c:minorTickMark val="none"/>
        <c:tickLblPos val="nextTo"/>
        <c:crossAx val="99639680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/>
            </a:pPr>
            <a:r>
              <a:rPr lang="en-US" sz="1100"/>
              <a:t>LTM EBITDA Multiple Range</a:t>
            </a:r>
          </a:p>
        </c:rich>
      </c:tx>
      <c:layout>
        <c:manualLayout>
          <c:xMode val="edge"/>
          <c:yMode val="edge"/>
          <c:x val="0.31291626892699836"/>
          <c:y val="0"/>
        </c:manualLayout>
      </c:layout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noFill/>
          </c:spPr>
          <c:invertIfNegative val="0"/>
          <c:dLbls>
            <c:numFmt formatCode="#,##0.0\x;\-#,##0.0\x" sourceLinked="0"/>
            <c:spPr>
              <a:noFill/>
              <a:ln>
                <a:noFill/>
              </a:ln>
              <a:effectLst/>
            </c:sp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DCF!$G$128:$G$130</c:f>
              <c:strCache>
                <c:ptCount val="3"/>
                <c:pt idx="0">
                  <c:v>LTM EBITDA Purchase Multiple at 9.0%-11.0% Perpetuity Growth at 20.1% WACC</c:v>
                </c:pt>
                <c:pt idx="1">
                  <c:v>LTM EBITDA Purchase Multiple at 6.1x-6.9x Exit EBITDA Multiple at 20.1% WACC</c:v>
                </c:pt>
                <c:pt idx="2">
                  <c:v>LTM EBITDA Purchase Multiple at 18.1%-22.1% WACC at 5.4x Exit EBITDA</c:v>
                </c:pt>
              </c:strCache>
            </c:strRef>
          </c:cat>
          <c:val>
            <c:numRef>
              <c:f>DCF!$O$128:$O$130</c:f>
              <c:numCache>
                <c:formatCode>#,##0.00_);\(#,##0.00\)</c:formatCode>
                <c:ptCount val="3"/>
                <c:pt idx="0">
                  <c:v>6.6021283054650484</c:v>
                </c:pt>
                <c:pt idx="1">
                  <c:v>6.0591734352226121</c:v>
                </c:pt>
                <c:pt idx="2">
                  <c:v>5.3278998576608965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D5-4FE9-8BD7-0E0161403D7A}"/>
            </c:ext>
          </c:extLst>
        </c:ser>
        <c:ser>
          <c:idx val="1"/>
          <c:order val="1"/>
          <c:spPr>
            <a:solidFill>
              <a:schemeClr val="tx2"/>
            </a:solidFill>
          </c:spPr>
          <c:invertIfNegative val="0"/>
          <c:cat>
            <c:strRef>
              <c:f>DCF!$G$128:$G$130</c:f>
              <c:strCache>
                <c:ptCount val="3"/>
                <c:pt idx="0">
                  <c:v>LTM EBITDA Purchase Multiple at 9.0%-11.0% Perpetuity Growth at 20.1% WACC</c:v>
                </c:pt>
                <c:pt idx="1">
                  <c:v>LTM EBITDA Purchase Multiple at 6.1x-6.9x Exit EBITDA Multiple at 20.1% WACC</c:v>
                </c:pt>
                <c:pt idx="2">
                  <c:v>LTM EBITDA Purchase Multiple at 18.1%-22.1% WACC at 5.4x Exit EBITDA</c:v>
                </c:pt>
              </c:strCache>
            </c:strRef>
          </c:cat>
          <c:val>
            <c:numRef>
              <c:f>DCF!$P$128:$P$130</c:f>
              <c:numCache>
                <c:formatCode>#,##0.00_);\(#,##0.00\)</c:formatCode>
                <c:ptCount val="3"/>
                <c:pt idx="0">
                  <c:v>0.47330290329820457</c:v>
                </c:pt>
                <c:pt idx="1">
                  <c:v>0.86646355398299413</c:v>
                </c:pt>
                <c:pt idx="2">
                  <c:v>0.62060734204265966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D5-4FE9-8BD7-0E0161403D7A}"/>
            </c:ext>
          </c:extLst>
        </c:ser>
        <c:ser>
          <c:idx val="2"/>
          <c:order val="2"/>
          <c:spPr>
            <a:noFill/>
          </c:spPr>
          <c:invertIfNegative val="0"/>
          <c:dLbls>
            <c:numFmt formatCode="#,##0.0\x;\-#,##0.0\x" sourceLinked="0"/>
            <c:spPr>
              <a:noFill/>
              <a:ln>
                <a:noFill/>
              </a:ln>
              <a:effectLst/>
            </c:sp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DCF!$G$128:$G$130</c:f>
              <c:strCache>
                <c:ptCount val="3"/>
                <c:pt idx="0">
                  <c:v>LTM EBITDA Purchase Multiple at 9.0%-11.0% Perpetuity Growth at 20.1% WACC</c:v>
                </c:pt>
                <c:pt idx="1">
                  <c:v>LTM EBITDA Purchase Multiple at 6.1x-6.9x Exit EBITDA Multiple at 20.1% WACC</c:v>
                </c:pt>
                <c:pt idx="2">
                  <c:v>LTM EBITDA Purchase Multiple at 18.1%-22.1% WACC at 5.4x Exit EBITDA</c:v>
                </c:pt>
              </c:strCache>
            </c:strRef>
          </c:cat>
          <c:val>
            <c:numRef>
              <c:f>DCF!$Q$128:$Q$130</c:f>
              <c:numCache>
                <c:formatCode>#,##0.00_);\(#,##0.00\)</c:formatCode>
                <c:ptCount val="3"/>
                <c:pt idx="0">
                  <c:v>7.0754312087632529</c:v>
                </c:pt>
                <c:pt idx="1">
                  <c:v>6.9256369892056062</c:v>
                </c:pt>
                <c:pt idx="2">
                  <c:v>5.9485071997035561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2D5-4FE9-8BD7-0E0161403D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639680"/>
        <c:axId val="99641216"/>
      </c:barChart>
      <c:catAx>
        <c:axId val="9963968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99641216"/>
        <c:crosses val="autoZero"/>
        <c:auto val="1"/>
        <c:lblAlgn val="ctr"/>
        <c:lblOffset val="100"/>
        <c:noMultiLvlLbl val="0"/>
      </c:catAx>
      <c:valAx>
        <c:axId val="99641216"/>
        <c:scaling>
          <c:orientation val="minMax"/>
          <c:max val="20"/>
          <c:min val="10"/>
        </c:scaling>
        <c:delete val="0"/>
        <c:axPos val="l"/>
        <c:numFmt formatCode="#,##0.0\x;\-#,##0.0\x" sourceLinked="0"/>
        <c:majorTickMark val="out"/>
        <c:minorTickMark val="none"/>
        <c:tickLblPos val="nextTo"/>
        <c:crossAx val="99639680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53578</xdr:colOff>
      <xdr:row>106</xdr:row>
      <xdr:rowOff>149424</xdr:rowOff>
    </xdr:from>
    <xdr:to>
      <xdr:col>4</xdr:col>
      <xdr:colOff>654844</xdr:colOff>
      <xdr:row>125</xdr:row>
      <xdr:rowOff>53578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7529BCA-2888-434E-AC7E-5B03FCA5B5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47228</xdr:colOff>
      <xdr:row>106</xdr:row>
      <xdr:rowOff>149424</xdr:rowOff>
    </xdr:from>
    <xdr:to>
      <xdr:col>16</xdr:col>
      <xdr:colOff>1121</xdr:colOff>
      <xdr:row>125</xdr:row>
      <xdr:rowOff>47228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A38233F-A324-4062-8E99-2AF6A530E0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0973C-64E9-46C3-8015-F083BA56F634}">
  <dimension ref="A1:K313"/>
  <sheetViews>
    <sheetView showGridLines="0" tabSelected="1" zoomScale="85" zoomScaleNormal="85" workbookViewId="0">
      <selection activeCell="D10" sqref="D10"/>
    </sheetView>
  </sheetViews>
  <sheetFormatPr defaultColWidth="9.140625" defaultRowHeight="15" x14ac:dyDescent="0.25"/>
  <cols>
    <col min="1" max="2" width="1.7109375" style="6" customWidth="1"/>
    <col min="3" max="3" width="66.42578125" style="6" bestFit="1" customWidth="1"/>
    <col min="4" max="4" width="17.140625" style="28" customWidth="1"/>
    <col min="5" max="11" width="17.140625" style="6" customWidth="1"/>
    <col min="12" max="12" width="2.7109375" style="6" customWidth="1"/>
    <col min="13" max="16384" width="9.140625" style="6"/>
  </cols>
  <sheetData>
    <row r="1" spans="3:11" ht="15" customHeight="1" thickBot="1" x14ac:dyDescent="0.3"/>
    <row r="2" spans="3:11" ht="15.75" thickBot="1" x14ac:dyDescent="0.3">
      <c r="C2" s="2" t="str">
        <f>Company_Name&amp;" - Financial Statement Model"</f>
        <v>Edita Food Industries SAE - Financial Statement Model</v>
      </c>
      <c r="D2" s="8"/>
      <c r="E2" s="8"/>
      <c r="F2" s="8"/>
      <c r="G2" s="8"/>
      <c r="H2" s="8"/>
      <c r="I2" s="8"/>
      <c r="J2" s="8"/>
      <c r="K2" s="8"/>
    </row>
    <row r="3" spans="3:11" x14ac:dyDescent="0.25">
      <c r="C3" s="238" t="s">
        <v>229</v>
      </c>
      <c r="D3" s="9"/>
      <c r="E3" s="9"/>
      <c r="F3" s="9"/>
      <c r="G3" s="9"/>
      <c r="H3" s="9"/>
    </row>
    <row r="4" spans="3:11" ht="15" customHeight="1" x14ac:dyDescent="0.25"/>
    <row r="5" spans="3:11" x14ac:dyDescent="0.25">
      <c r="C5" s="3" t="s">
        <v>0</v>
      </c>
      <c r="D5" s="266" t="s">
        <v>223</v>
      </c>
    </row>
    <row r="6" spans="3:11" x14ac:dyDescent="0.25">
      <c r="C6" s="3" t="s">
        <v>1</v>
      </c>
      <c r="D6" s="4" t="s">
        <v>224</v>
      </c>
    </row>
    <row r="7" spans="3:11" x14ac:dyDescent="0.25">
      <c r="C7" s="6" t="s">
        <v>28</v>
      </c>
      <c r="D7" s="262">
        <v>28.8</v>
      </c>
    </row>
    <row r="8" spans="3:11" x14ac:dyDescent="0.25">
      <c r="C8" s="6" t="s">
        <v>29</v>
      </c>
      <c r="D8" s="5">
        <v>46188</v>
      </c>
    </row>
    <row r="9" spans="3:11" x14ac:dyDescent="0.25">
      <c r="C9" s="3" t="s">
        <v>2</v>
      </c>
      <c r="D9" s="5">
        <v>46022</v>
      </c>
    </row>
    <row r="10" spans="3:11" ht="15" customHeight="1" x14ac:dyDescent="0.25">
      <c r="C10" s="6" t="s">
        <v>30</v>
      </c>
      <c r="D10" s="252">
        <v>1389021139</v>
      </c>
    </row>
    <row r="11" spans="3:11" ht="15" customHeight="1" x14ac:dyDescent="0.25"/>
    <row r="12" spans="3:11" customFormat="1" x14ac:dyDescent="0.25">
      <c r="C12" s="39" t="s">
        <v>41</v>
      </c>
      <c r="D12" s="253"/>
      <c r="E12" s="40"/>
      <c r="F12" s="40"/>
      <c r="G12" s="40"/>
      <c r="H12" s="40"/>
      <c r="I12" s="40"/>
      <c r="J12" s="40"/>
      <c r="K12" s="40"/>
    </row>
    <row r="13" spans="3:11" customFormat="1" x14ac:dyDescent="0.25">
      <c r="C13" t="s">
        <v>42</v>
      </c>
      <c r="D13" s="41">
        <f>E13-1</f>
        <v>2023</v>
      </c>
      <c r="E13" s="41">
        <f>F13-1</f>
        <v>2024</v>
      </c>
      <c r="F13" s="41">
        <f>YEAR(D9)</f>
        <v>2025</v>
      </c>
      <c r="G13" s="42">
        <f>F13+1</f>
        <v>2026</v>
      </c>
      <c r="H13" s="42">
        <f>G13+1</f>
        <v>2027</v>
      </c>
      <c r="I13" s="42">
        <f>H13+1</f>
        <v>2028</v>
      </c>
      <c r="J13" s="42">
        <f>I13+1</f>
        <v>2029</v>
      </c>
      <c r="K13" s="42">
        <f>J13+1</f>
        <v>2030</v>
      </c>
    </row>
    <row r="14" spans="3:11" customFormat="1" x14ac:dyDescent="0.25">
      <c r="C14" s="43" t="s">
        <v>43</v>
      </c>
      <c r="D14" s="254">
        <f>EOMONTH(E14,-12)</f>
        <v>45291</v>
      </c>
      <c r="E14" s="235">
        <f>EOMONTH(F14,-12)</f>
        <v>45657</v>
      </c>
      <c r="F14" s="235">
        <f>D9</f>
        <v>46022</v>
      </c>
      <c r="G14" s="235">
        <f>EOMONTH(F14,12)</f>
        <v>46387</v>
      </c>
      <c r="H14" s="235">
        <f>EOMONTH(G14,12)</f>
        <v>46752</v>
      </c>
      <c r="I14" s="235">
        <f>EOMONTH(H14,12)</f>
        <v>47118</v>
      </c>
      <c r="J14" s="235">
        <f>EOMONTH(I14,12)</f>
        <v>47483</v>
      </c>
      <c r="K14" s="235">
        <f>EOMONTH(J14,12)</f>
        <v>47848</v>
      </c>
    </row>
    <row r="15" spans="3:11" ht="15" customHeight="1" x14ac:dyDescent="0.25"/>
    <row r="16" spans="3:11" ht="15" customHeight="1" x14ac:dyDescent="0.25">
      <c r="C16" s="6" t="s">
        <v>61</v>
      </c>
      <c r="D16" s="10">
        <v>12125997046</v>
      </c>
      <c r="E16" s="10">
        <v>16146545699</v>
      </c>
      <c r="F16" s="10">
        <v>20915072432</v>
      </c>
      <c r="G16" s="239">
        <f>G186</f>
        <v>25129110699.999996</v>
      </c>
      <c r="H16" s="239">
        <f t="shared" ref="H16:K16" si="0">H186</f>
        <v>29398883802.999996</v>
      </c>
      <c r="I16" s="239">
        <f t="shared" si="0"/>
        <v>33255852514.688194</v>
      </c>
      <c r="J16" s="239">
        <f t="shared" si="0"/>
        <v>36595843297.276352</v>
      </c>
      <c r="K16" s="239">
        <f t="shared" si="0"/>
        <v>39827486165.773544</v>
      </c>
    </row>
    <row r="17" spans="3:11" ht="15" customHeight="1" x14ac:dyDescent="0.25">
      <c r="C17" s="6" t="s">
        <v>254</v>
      </c>
      <c r="D17" s="10">
        <v>-8151309352</v>
      </c>
      <c r="E17" s="10">
        <v>-11158878123</v>
      </c>
      <c r="F17" s="10">
        <v>-13723015211</v>
      </c>
      <c r="G17" s="239">
        <f>G18-G16</f>
        <v>-16437715678.579788</v>
      </c>
      <c r="H17" s="239">
        <f t="shared" ref="H17:J17" si="1">H18-H16</f>
        <v>-19171906374.316479</v>
      </c>
      <c r="I17" s="239">
        <f t="shared" si="1"/>
        <v>-21620641286.289902</v>
      </c>
      <c r="J17" s="239">
        <f t="shared" si="1"/>
        <v>-23718879202.288124</v>
      </c>
      <c r="K17" s="239">
        <f t="shared" ref="K17" si="2">K18-K16</f>
        <v>-25733750272.167648</v>
      </c>
    </row>
    <row r="18" spans="3:11" s="13" customFormat="1" ht="15" customHeight="1" x14ac:dyDescent="0.25">
      <c r="C18" s="13" t="s">
        <v>200</v>
      </c>
      <c r="D18" s="14">
        <f>SUM(D16:D17)</f>
        <v>3974687694</v>
      </c>
      <c r="E18" s="14">
        <f t="shared" ref="E18:F18" si="3">SUM(E16:E17)</f>
        <v>4987667576</v>
      </c>
      <c r="F18" s="14">
        <f t="shared" si="3"/>
        <v>7192057221</v>
      </c>
      <c r="G18" s="14">
        <f>G16*G41</f>
        <v>8691395021.420208</v>
      </c>
      <c r="H18" s="14">
        <f t="shared" ref="H18:K18" si="4">H16*H41</f>
        <v>10226977428.683517</v>
      </c>
      <c r="I18" s="14">
        <f t="shared" si="4"/>
        <v>11635211228.398291</v>
      </c>
      <c r="J18" s="14">
        <f t="shared" si="4"/>
        <v>12876964094.988228</v>
      </c>
      <c r="K18" s="14">
        <f t="shared" si="4"/>
        <v>14093735893.605896</v>
      </c>
    </row>
    <row r="19" spans="3:11" s="15" customFormat="1" ht="15" customHeight="1" x14ac:dyDescent="0.25">
      <c r="C19" s="230" t="s">
        <v>255</v>
      </c>
      <c r="D19" s="243">
        <v>42462006</v>
      </c>
      <c r="E19" s="191">
        <v>59044210</v>
      </c>
      <c r="F19" s="191">
        <v>61145635</v>
      </c>
      <c r="G19" s="228">
        <f>G42*G16</f>
        <v>73465460.649607867</v>
      </c>
      <c r="H19" s="228">
        <f t="shared" ref="H19:K19" si="5">H42*H16</f>
        <v>85948228.210546687</v>
      </c>
      <c r="I19" s="228">
        <f t="shared" si="5"/>
        <v>97224153.829167888</v>
      </c>
      <c r="J19" s="228">
        <f t="shared" si="5"/>
        <v>106988684.07210574</v>
      </c>
      <c r="K19" s="228">
        <f t="shared" si="5"/>
        <v>116436457.00858162</v>
      </c>
    </row>
    <row r="20" spans="3:11" s="15" customFormat="1" ht="15" customHeight="1" x14ac:dyDescent="0.25">
      <c r="C20" s="230" t="s">
        <v>256</v>
      </c>
      <c r="D20" s="243">
        <v>-1100567099</v>
      </c>
      <c r="E20" s="191">
        <v>-1623244053</v>
      </c>
      <c r="F20" s="191">
        <v>-1998186790</v>
      </c>
      <c r="G20" s="228">
        <f>G43*G16</f>
        <v>-2400788101.9031243</v>
      </c>
      <c r="H20" s="228">
        <f t="shared" ref="H20:K20" si="6">H43*H16</f>
        <v>-2808714215.40098</v>
      </c>
      <c r="I20" s="228">
        <f t="shared" si="6"/>
        <v>-3177201771.6452069</v>
      </c>
      <c r="J20" s="228">
        <f t="shared" si="6"/>
        <v>-3496298226.2325854</v>
      </c>
      <c r="K20" s="228">
        <f t="shared" si="6"/>
        <v>-3805043324.3346105</v>
      </c>
    </row>
    <row r="21" spans="3:11" s="15" customFormat="1" ht="15" customHeight="1" x14ac:dyDescent="0.25">
      <c r="C21" s="230" t="s">
        <v>257</v>
      </c>
      <c r="D21" s="243">
        <v>-745185400</v>
      </c>
      <c r="E21" s="191">
        <v>-1046817212</v>
      </c>
      <c r="F21" s="191">
        <v>-1398938050</v>
      </c>
      <c r="G21" s="228">
        <f>G44*G16</f>
        <v>-1680800735.2203336</v>
      </c>
      <c r="H21" s="228">
        <f t="shared" ref="H21:K21" si="7">H44*H16</f>
        <v>-1966391333.9654934</v>
      </c>
      <c r="I21" s="228">
        <f t="shared" si="7"/>
        <v>-2224370851.1764765</v>
      </c>
      <c r="J21" s="228">
        <f t="shared" si="7"/>
        <v>-2447771473.2686586</v>
      </c>
      <c r="K21" s="228">
        <f t="shared" si="7"/>
        <v>-2663925071.9449391</v>
      </c>
    </row>
    <row r="22" spans="3:11" s="15" customFormat="1" ht="15" customHeight="1" x14ac:dyDescent="0.25">
      <c r="C22" s="230" t="s">
        <v>258</v>
      </c>
      <c r="D22" s="243">
        <v>-10543416</v>
      </c>
      <c r="E22" s="191">
        <v>-13403634</v>
      </c>
      <c r="F22" s="191">
        <v>-31332605</v>
      </c>
      <c r="G22" s="228">
        <f>G45*G16</f>
        <v>-37645602.334119298</v>
      </c>
      <c r="H22" s="228">
        <f t="shared" ref="H22:K22" si="8">H45*H16</f>
        <v>-44042095.318348005</v>
      </c>
      <c r="I22" s="228">
        <f t="shared" si="8"/>
        <v>-49820171.274508059</v>
      </c>
      <c r="J22" s="228">
        <f t="shared" si="8"/>
        <v>-54823769.145599365</v>
      </c>
      <c r="K22" s="228">
        <f t="shared" si="8"/>
        <v>-59665052.379444085</v>
      </c>
    </row>
    <row r="23" spans="3:11" s="15" customFormat="1" ht="15" customHeight="1" x14ac:dyDescent="0.25">
      <c r="C23" s="230" t="s">
        <v>237</v>
      </c>
      <c r="D23" s="243">
        <v>-30579503</v>
      </c>
      <c r="E23" s="191">
        <v>-42683783</v>
      </c>
      <c r="F23" s="191">
        <v>-35630573</v>
      </c>
      <c r="G23" s="228">
        <f>G46*G16</f>
        <v>-50258221.399999991</v>
      </c>
      <c r="H23" s="228">
        <f t="shared" ref="H23:K23" si="9">H46*H16</f>
        <v>-58797767.605999991</v>
      </c>
      <c r="I23" s="228">
        <f t="shared" si="9"/>
        <v>-66511705.029376388</v>
      </c>
      <c r="J23" s="228">
        <f t="shared" si="9"/>
        <v>-73191686.594552711</v>
      </c>
      <c r="K23" s="228">
        <f t="shared" si="9"/>
        <v>-79654972.331547096</v>
      </c>
    </row>
    <row r="24" spans="3:11" s="15" customFormat="1" ht="15" customHeight="1" x14ac:dyDescent="0.25">
      <c r="C24" s="230" t="s">
        <v>259</v>
      </c>
      <c r="D24" s="243">
        <v>0</v>
      </c>
      <c r="E24" s="191">
        <v>0</v>
      </c>
      <c r="F24" s="191">
        <v>-4729625</v>
      </c>
      <c r="G24" s="228">
        <v>0</v>
      </c>
      <c r="H24" s="228">
        <v>0</v>
      </c>
      <c r="I24" s="228">
        <v>0</v>
      </c>
      <c r="J24" s="228">
        <v>0</v>
      </c>
      <c r="K24" s="228">
        <v>0</v>
      </c>
    </row>
    <row r="25" spans="3:11" ht="15" customHeight="1" x14ac:dyDescent="0.25">
      <c r="C25" s="231" t="s">
        <v>260</v>
      </c>
      <c r="D25" s="243">
        <v>-18535914</v>
      </c>
      <c r="E25" s="191">
        <v>-23800197</v>
      </c>
      <c r="F25" s="191">
        <v>-43901598</v>
      </c>
      <c r="G25" s="228">
        <f>G47*G16</f>
        <v>-52747037.794666842</v>
      </c>
      <c r="H25" s="228">
        <f t="shared" ref="H25:K25" si="10">H47*H16</f>
        <v>-61709467.302313246</v>
      </c>
      <c r="I25" s="228">
        <f t="shared" si="10"/>
        <v>-69805403.399576917</v>
      </c>
      <c r="J25" s="228">
        <f t="shared" si="10"/>
        <v>-76816181.542355224</v>
      </c>
      <c r="K25" s="228">
        <f t="shared" si="10"/>
        <v>-83599532.953334004</v>
      </c>
    </row>
    <row r="26" spans="3:11" ht="15" customHeight="1" x14ac:dyDescent="0.25">
      <c r="C26" s="201" t="s">
        <v>201</v>
      </c>
      <c r="D26" s="221">
        <f>SUM(D18:D25)</f>
        <v>2111738368</v>
      </c>
      <c r="E26" s="221">
        <f t="shared" ref="E26:K26" si="11">SUM(E18:E25)</f>
        <v>2296762907</v>
      </c>
      <c r="F26" s="221">
        <f t="shared" si="11"/>
        <v>3740483615</v>
      </c>
      <c r="G26" s="221">
        <f t="shared" si="11"/>
        <v>4542620783.4175739</v>
      </c>
      <c r="H26" s="221">
        <f t="shared" si="11"/>
        <v>5373270777.30093</v>
      </c>
      <c r="I26" s="221">
        <f t="shared" si="11"/>
        <v>6144725479.7023144</v>
      </c>
      <c r="J26" s="221">
        <f t="shared" si="11"/>
        <v>6835051442.2765808</v>
      </c>
      <c r="K26" s="221">
        <f t="shared" si="11"/>
        <v>7518284396.6706038</v>
      </c>
    </row>
    <row r="27" spans="3:11" ht="15" customHeight="1" x14ac:dyDescent="0.25">
      <c r="C27" s="231" t="s">
        <v>261</v>
      </c>
      <c r="D27" s="243">
        <v>213587378</v>
      </c>
      <c r="E27" s="191">
        <v>168265279</v>
      </c>
      <c r="F27" s="191">
        <v>575446672</v>
      </c>
      <c r="G27" s="228">
        <f ca="1">G241</f>
        <v>878774396.79886651</v>
      </c>
      <c r="H27" s="228">
        <f t="shared" ref="H27:K27" ca="1" si="12">H241</f>
        <v>836044660.64271033</v>
      </c>
      <c r="I27" s="228">
        <f t="shared" ca="1" si="12"/>
        <v>851582597.6601963</v>
      </c>
      <c r="J27" s="228">
        <f t="shared" ca="1" si="12"/>
        <v>870714745.65118015</v>
      </c>
      <c r="K27" s="228">
        <f t="shared" ca="1" si="12"/>
        <v>889453344.81441295</v>
      </c>
    </row>
    <row r="28" spans="3:11" ht="15" customHeight="1" x14ac:dyDescent="0.25">
      <c r="C28" s="231" t="s">
        <v>262</v>
      </c>
      <c r="D28" s="243">
        <v>44119455</v>
      </c>
      <c r="E28" s="191">
        <v>100318882</v>
      </c>
      <c r="F28" s="191">
        <v>-9406494</v>
      </c>
      <c r="G28" s="228">
        <v>0</v>
      </c>
      <c r="H28" s="228">
        <v>0</v>
      </c>
      <c r="I28" s="228">
        <v>0</v>
      </c>
      <c r="J28" s="228">
        <v>0</v>
      </c>
      <c r="K28" s="228">
        <v>0</v>
      </c>
    </row>
    <row r="29" spans="3:11" ht="15" customHeight="1" x14ac:dyDescent="0.25">
      <c r="C29" s="231" t="s">
        <v>263</v>
      </c>
      <c r="D29" s="243">
        <v>-211888890</v>
      </c>
      <c r="E29" s="191">
        <v>-402321688</v>
      </c>
      <c r="F29" s="191">
        <v>-602686213</v>
      </c>
      <c r="G29" s="228">
        <f>G240</f>
        <v>-692654586.4896872</v>
      </c>
      <c r="H29" s="228">
        <f t="shared" ref="H29:K29" si="13">H240</f>
        <v>-715225114.01812029</v>
      </c>
      <c r="I29" s="228">
        <f t="shared" si="13"/>
        <v>-741630677.03634572</v>
      </c>
      <c r="J29" s="228">
        <f t="shared" si="13"/>
        <v>-771500501.86322582</v>
      </c>
      <c r="K29" s="228">
        <f t="shared" si="13"/>
        <v>-804370247.96878135</v>
      </c>
    </row>
    <row r="30" spans="3:11" s="13" customFormat="1" ht="15" customHeight="1" x14ac:dyDescent="0.25">
      <c r="C30" s="13" t="s">
        <v>264</v>
      </c>
      <c r="D30" s="221">
        <f t="shared" ref="D30:K30" si="14">SUM(D26:D29)</f>
        <v>2157556311</v>
      </c>
      <c r="E30" s="221">
        <f t="shared" si="14"/>
        <v>2163025380</v>
      </c>
      <c r="F30" s="221">
        <f t="shared" si="14"/>
        <v>3703837580</v>
      </c>
      <c r="G30" s="221">
        <f t="shared" ca="1" si="14"/>
        <v>4728740593.7267532</v>
      </c>
      <c r="H30" s="221">
        <f t="shared" ca="1" si="14"/>
        <v>5494090323.9255199</v>
      </c>
      <c r="I30" s="221">
        <f t="shared" ca="1" si="14"/>
        <v>6254677400.3261652</v>
      </c>
      <c r="J30" s="221">
        <f t="shared" ca="1" si="14"/>
        <v>6934265686.0645351</v>
      </c>
      <c r="K30" s="221">
        <f t="shared" ca="1" si="14"/>
        <v>7603367493.5162354</v>
      </c>
    </row>
    <row r="31" spans="3:11" ht="15" customHeight="1" x14ac:dyDescent="0.25">
      <c r="C31" s="6" t="s">
        <v>265</v>
      </c>
      <c r="D31" s="243">
        <v>-544046655</v>
      </c>
      <c r="E31" s="243">
        <v>-556297682</v>
      </c>
      <c r="F31" s="243">
        <v>-1008535910</v>
      </c>
      <c r="G31" s="191">
        <f ca="1">G48*G30</f>
        <v>-1063966633.5885195</v>
      </c>
      <c r="H31" s="191">
        <f t="shared" ref="H31:K31" ca="1" si="15">H48*H30</f>
        <v>-1236170322.8832421</v>
      </c>
      <c r="I31" s="191">
        <f t="shared" ca="1" si="15"/>
        <v>-1407302415.0733871</v>
      </c>
      <c r="J31" s="191">
        <f t="shared" ca="1" si="15"/>
        <v>-1560209779.3645205</v>
      </c>
      <c r="K31" s="191">
        <f t="shared" ca="1" si="15"/>
        <v>-1710757686.041153</v>
      </c>
    </row>
    <row r="32" spans="3:11" ht="15" customHeight="1" x14ac:dyDescent="0.25">
      <c r="C32" s="13" t="s">
        <v>202</v>
      </c>
      <c r="D32" s="221">
        <f>SUM(D30:D31)</f>
        <v>1613509656</v>
      </c>
      <c r="E32" s="221">
        <f t="shared" ref="E32:K32" si="16">SUM(E30:E31)</f>
        <v>1606727698</v>
      </c>
      <c r="F32" s="221">
        <f t="shared" si="16"/>
        <v>2695301670</v>
      </c>
      <c r="G32" s="221">
        <f t="shared" ca="1" si="16"/>
        <v>3664773960.1382337</v>
      </c>
      <c r="H32" s="221">
        <f t="shared" ca="1" si="16"/>
        <v>4257920001.0422778</v>
      </c>
      <c r="I32" s="221">
        <f t="shared" ca="1" si="16"/>
        <v>4847374985.2527781</v>
      </c>
      <c r="J32" s="221">
        <f t="shared" ca="1" si="16"/>
        <v>5374055906.7000141</v>
      </c>
      <c r="K32" s="221">
        <f t="shared" ca="1" si="16"/>
        <v>5892609807.4750824</v>
      </c>
    </row>
    <row r="33" spans="3:11" ht="15" customHeight="1" x14ac:dyDescent="0.25">
      <c r="C33" s="6" t="s">
        <v>266</v>
      </c>
      <c r="D33" s="228">
        <f>D32-D34</f>
        <v>1631794504</v>
      </c>
      <c r="E33" s="228">
        <f t="shared" ref="E33:K33" si="17">E32-E34</f>
        <v>1633729383</v>
      </c>
      <c r="F33" s="228">
        <f t="shared" si="17"/>
        <v>2749571345</v>
      </c>
      <c r="G33" s="228">
        <f t="shared" ca="1" si="17"/>
        <v>3628126220.5368514</v>
      </c>
      <c r="H33" s="228">
        <f t="shared" ca="1" si="17"/>
        <v>4215340801.0318551</v>
      </c>
      <c r="I33" s="228">
        <f t="shared" ca="1" si="17"/>
        <v>4798901235.4002504</v>
      </c>
      <c r="J33" s="228">
        <f t="shared" ca="1" si="17"/>
        <v>5320315347.6330137</v>
      </c>
      <c r="K33" s="228">
        <f t="shared" ca="1" si="17"/>
        <v>5833683709.4003315</v>
      </c>
    </row>
    <row r="34" spans="3:11" ht="15" customHeight="1" x14ac:dyDescent="0.25">
      <c r="C34" s="6" t="s">
        <v>253</v>
      </c>
      <c r="D34" s="271">
        <v>-18284848</v>
      </c>
      <c r="E34" s="271">
        <v>-27001685</v>
      </c>
      <c r="F34" s="271">
        <v>-54269675</v>
      </c>
      <c r="G34" s="229">
        <f ca="1">G257</f>
        <v>36647739.601382338</v>
      </c>
      <c r="H34" s="229">
        <f t="shared" ref="H34:K34" ca="1" si="18">H257</f>
        <v>42579200.010422781</v>
      </c>
      <c r="I34" s="229">
        <f t="shared" ca="1" si="18"/>
        <v>48473749.852527782</v>
      </c>
      <c r="J34" s="229">
        <f t="shared" ca="1" si="18"/>
        <v>53740559.067000143</v>
      </c>
      <c r="K34" s="229">
        <f t="shared" ca="1" si="18"/>
        <v>58926098.074750826</v>
      </c>
    </row>
    <row r="35" spans="3:11" ht="15" customHeight="1" x14ac:dyDescent="0.25">
      <c r="D35" s="14"/>
      <c r="E35" s="14"/>
      <c r="F35" s="14"/>
      <c r="G35" s="229"/>
      <c r="H35" s="232"/>
      <c r="I35" s="232"/>
      <c r="J35" s="232"/>
      <c r="K35" s="232"/>
    </row>
    <row r="36" spans="3:11" s="13" customFormat="1" ht="15" customHeight="1" x14ac:dyDescent="0.25">
      <c r="C36" s="233" t="s">
        <v>24</v>
      </c>
      <c r="D36" s="14">
        <f>D26+D172</f>
        <v>2396144539</v>
      </c>
      <c r="E36" s="14">
        <f t="shared" ref="E36:K36" si="19">E26+E172</f>
        <v>2670300425</v>
      </c>
      <c r="F36" s="14">
        <f t="shared" si="19"/>
        <v>4218459783</v>
      </c>
      <c r="G36" s="14">
        <f t="shared" si="19"/>
        <v>5116901177.4580374</v>
      </c>
      <c r="H36" s="14">
        <f t="shared" si="19"/>
        <v>6045129116.2725773</v>
      </c>
      <c r="I36" s="14">
        <f t="shared" si="19"/>
        <v>6904727865.5522318</v>
      </c>
      <c r="J36" s="14">
        <f t="shared" si="19"/>
        <v>7671383279.0814114</v>
      </c>
      <c r="K36" s="14">
        <f t="shared" si="19"/>
        <v>8428469588.7363758</v>
      </c>
    </row>
    <row r="37" spans="3:11" ht="15" customHeight="1" x14ac:dyDescent="0.25">
      <c r="C37" s="234" t="s">
        <v>149</v>
      </c>
      <c r="D37" s="15">
        <f>D36/D16</f>
        <v>0.19760391907652786</v>
      </c>
      <c r="E37" s="15">
        <f t="shared" ref="E37:K37" si="20">E36/E16</f>
        <v>0.16537905226164745</v>
      </c>
      <c r="F37" s="15">
        <f t="shared" si="20"/>
        <v>0.20169472502259991</v>
      </c>
      <c r="G37" s="15">
        <f t="shared" si="20"/>
        <v>0.20362444332174628</v>
      </c>
      <c r="H37" s="15">
        <f t="shared" si="20"/>
        <v>0.20562444332174629</v>
      </c>
      <c r="I37" s="15">
        <f t="shared" si="20"/>
        <v>0.20762444332174626</v>
      </c>
      <c r="J37" s="15">
        <f t="shared" si="20"/>
        <v>0.20962444332174618</v>
      </c>
      <c r="K37" s="15">
        <f t="shared" si="20"/>
        <v>0.21162444332174624</v>
      </c>
    </row>
    <row r="38" spans="3:11" ht="15" customHeight="1" x14ac:dyDescent="0.25">
      <c r="C38" s="17"/>
      <c r="D38" s="14"/>
      <c r="E38" s="14"/>
      <c r="F38" s="14"/>
      <c r="G38" s="200"/>
      <c r="H38" s="14"/>
      <c r="I38" s="14"/>
      <c r="J38" s="14"/>
      <c r="K38" s="14"/>
    </row>
    <row r="39" spans="3:11" ht="15" customHeight="1" x14ac:dyDescent="0.25">
      <c r="C39" s="20" t="s">
        <v>27</v>
      </c>
      <c r="D39" s="21"/>
      <c r="E39" s="21"/>
      <c r="F39" s="14"/>
      <c r="H39" s="21"/>
      <c r="I39" s="21"/>
      <c r="J39" s="21"/>
      <c r="K39" s="21"/>
    </row>
    <row r="40" spans="3:11" ht="15" customHeight="1" x14ac:dyDescent="0.25">
      <c r="C40" s="17" t="s">
        <v>25</v>
      </c>
      <c r="D40" s="22"/>
      <c r="E40" s="213">
        <f>E16/D16-1</f>
        <v>0.3315643767475811</v>
      </c>
      <c r="F40" s="213">
        <f t="shared" ref="F40:K40" si="21">F16/E16-1</f>
        <v>0.29532798047915154</v>
      </c>
      <c r="G40" s="213">
        <f t="shared" si="21"/>
        <v>0.20148332173846684</v>
      </c>
      <c r="H40" s="213">
        <f t="shared" si="21"/>
        <v>0.16991341850390285</v>
      </c>
      <c r="I40" s="213">
        <f t="shared" si="21"/>
        <v>0.13119439287333123</v>
      </c>
      <c r="J40" s="213">
        <f t="shared" si="21"/>
        <v>0.10043317281110076</v>
      </c>
      <c r="K40" s="213">
        <f t="shared" si="21"/>
        <v>8.8306282280362414E-2</v>
      </c>
    </row>
    <row r="41" spans="3:11" ht="15" customHeight="1" x14ac:dyDescent="0.25">
      <c r="C41" s="17" t="s">
        <v>181</v>
      </c>
      <c r="D41" s="22">
        <f>D18/D16</f>
        <v>0.32778234061265332</v>
      </c>
      <c r="E41" s="22">
        <f t="shared" ref="E41:F41" si="22">E18/E16</f>
        <v>0.30889997582014711</v>
      </c>
      <c r="F41" s="22">
        <f t="shared" si="22"/>
        <v>0.34386958230162157</v>
      </c>
      <c r="G41" s="251">
        <f>F41+0.2%</f>
        <v>0.34586958230162157</v>
      </c>
      <c r="H41" s="251">
        <f t="shared" ref="H41:K41" si="23">G41+0.2%</f>
        <v>0.34786958230162157</v>
      </c>
      <c r="I41" s="251">
        <f t="shared" si="23"/>
        <v>0.34986958230162157</v>
      </c>
      <c r="J41" s="251">
        <f t="shared" si="23"/>
        <v>0.35186958230162158</v>
      </c>
      <c r="K41" s="251">
        <f t="shared" si="23"/>
        <v>0.35386958230162158</v>
      </c>
    </row>
    <row r="42" spans="3:11" ht="15" customHeight="1" x14ac:dyDescent="0.25">
      <c r="C42" s="17" t="s">
        <v>274</v>
      </c>
      <c r="D42" s="22">
        <f>D19/D16</f>
        <v>3.5017331637901836E-3</v>
      </c>
      <c r="E42" s="22">
        <f t="shared" ref="E42:F42" si="24">E19/E16</f>
        <v>3.6567703768154432E-3</v>
      </c>
      <c r="F42" s="22">
        <f t="shared" si="24"/>
        <v>2.9235201168343722E-3</v>
      </c>
      <c r="G42" s="251">
        <f>F42</f>
        <v>2.9235201168343722E-3</v>
      </c>
      <c r="H42" s="251">
        <f>G42</f>
        <v>2.9235201168343722E-3</v>
      </c>
      <c r="I42" s="251">
        <f t="shared" ref="I42:K43" si="25">H42</f>
        <v>2.9235201168343722E-3</v>
      </c>
      <c r="J42" s="251">
        <f t="shared" si="25"/>
        <v>2.9235201168343722E-3</v>
      </c>
      <c r="K42" s="251">
        <f t="shared" si="25"/>
        <v>2.9235201168343722E-3</v>
      </c>
    </row>
    <row r="43" spans="3:11" ht="15" customHeight="1" x14ac:dyDescent="0.25">
      <c r="C43" s="17" t="s">
        <v>275</v>
      </c>
      <c r="D43" s="22">
        <f>D20/D16</f>
        <v>-9.0760957208301796E-2</v>
      </c>
      <c r="E43" s="22">
        <f t="shared" ref="E43:F43" si="26">E20/E16</f>
        <v>-0.10053197032109053</v>
      </c>
      <c r="F43" s="22">
        <f t="shared" si="26"/>
        <v>-9.553812431186133E-2</v>
      </c>
      <c r="G43" s="251">
        <f>F43</f>
        <v>-9.553812431186133E-2</v>
      </c>
      <c r="H43" s="251">
        <f>G43</f>
        <v>-9.553812431186133E-2</v>
      </c>
      <c r="I43" s="251">
        <f t="shared" si="25"/>
        <v>-9.553812431186133E-2</v>
      </c>
      <c r="J43" s="251">
        <f t="shared" si="25"/>
        <v>-9.553812431186133E-2</v>
      </c>
      <c r="K43" s="251">
        <f t="shared" si="25"/>
        <v>-9.553812431186133E-2</v>
      </c>
    </row>
    <row r="44" spans="3:11" ht="15" customHeight="1" x14ac:dyDescent="0.25">
      <c r="C44" s="17" t="s">
        <v>276</v>
      </c>
      <c r="D44" s="22">
        <f>D21/D16</f>
        <v>-6.1453536329683846E-2</v>
      </c>
      <c r="E44" s="22">
        <f t="shared" ref="E44:F44" si="27">E21/E16</f>
        <v>-6.4832270103743136E-2</v>
      </c>
      <c r="F44" s="22">
        <f t="shared" si="27"/>
        <v>-6.6886598387277341E-2</v>
      </c>
      <c r="G44" s="251">
        <f>F44</f>
        <v>-6.6886598387277341E-2</v>
      </c>
      <c r="H44" s="251">
        <f t="shared" ref="H44:K46" si="28">G44</f>
        <v>-6.6886598387277341E-2</v>
      </c>
      <c r="I44" s="251">
        <f t="shared" si="28"/>
        <v>-6.6886598387277341E-2</v>
      </c>
      <c r="J44" s="251">
        <f t="shared" si="28"/>
        <v>-6.6886598387277341E-2</v>
      </c>
      <c r="K44" s="251">
        <f t="shared" si="28"/>
        <v>-6.6886598387277341E-2</v>
      </c>
    </row>
    <row r="45" spans="3:11" ht="15" customHeight="1" x14ac:dyDescent="0.25">
      <c r="C45" s="17" t="s">
        <v>258</v>
      </c>
      <c r="D45" s="22">
        <f>D22/D16</f>
        <v>-8.694885839080716E-4</v>
      </c>
      <c r="E45" s="22">
        <f t="shared" ref="E45:F45" si="29">E22/E16</f>
        <v>-8.3012393176022312E-4</v>
      </c>
      <c r="F45" s="22">
        <f t="shared" si="29"/>
        <v>-1.4980873292153273E-3</v>
      </c>
      <c r="G45" s="251">
        <f>F45</f>
        <v>-1.4980873292153273E-3</v>
      </c>
      <c r="H45" s="251">
        <f t="shared" si="28"/>
        <v>-1.4980873292153273E-3</v>
      </c>
      <c r="I45" s="251">
        <f t="shared" si="28"/>
        <v>-1.4980873292153273E-3</v>
      </c>
      <c r="J45" s="251">
        <f t="shared" si="28"/>
        <v>-1.4980873292153273E-3</v>
      </c>
      <c r="K45" s="251">
        <f t="shared" si="28"/>
        <v>-1.4980873292153273E-3</v>
      </c>
    </row>
    <row r="46" spans="3:11" ht="15" customHeight="1" x14ac:dyDescent="0.25">
      <c r="C46" s="17" t="s">
        <v>237</v>
      </c>
      <c r="D46" s="22">
        <f>D23/D16</f>
        <v>-2.5218134957477375E-3</v>
      </c>
      <c r="E46" s="22">
        <f t="shared" ref="E46:F46" si="30">E23/E16</f>
        <v>-2.6435241193813685E-3</v>
      </c>
      <c r="F46" s="22">
        <f t="shared" si="30"/>
        <v>-1.7035835336379388E-3</v>
      </c>
      <c r="G46" s="251">
        <v>-2E-3</v>
      </c>
      <c r="H46" s="251">
        <f t="shared" si="28"/>
        <v>-2E-3</v>
      </c>
      <c r="I46" s="251">
        <f t="shared" si="28"/>
        <v>-2E-3</v>
      </c>
      <c r="J46" s="251">
        <f t="shared" si="28"/>
        <v>-2E-3</v>
      </c>
      <c r="K46" s="251">
        <f t="shared" si="28"/>
        <v>-2E-3</v>
      </c>
    </row>
    <row r="47" spans="3:11" ht="15" customHeight="1" x14ac:dyDescent="0.25">
      <c r="C47" s="17" t="s">
        <v>260</v>
      </c>
      <c r="D47" s="22">
        <f>D25/D16</f>
        <v>-1.5286094767864419E-3</v>
      </c>
      <c r="E47" s="22">
        <f t="shared" ref="E47:F47" si="31">E25/E16</f>
        <v>-1.4740116829740253E-3</v>
      </c>
      <c r="F47" s="22">
        <f t="shared" si="31"/>
        <v>-2.0990411648219151E-3</v>
      </c>
      <c r="G47" s="251">
        <f t="shared" ref="G47:K47" si="32">F47</f>
        <v>-2.0990411648219151E-3</v>
      </c>
      <c r="H47" s="251">
        <f t="shared" si="32"/>
        <v>-2.0990411648219151E-3</v>
      </c>
      <c r="I47" s="251">
        <f t="shared" si="32"/>
        <v>-2.0990411648219151E-3</v>
      </c>
      <c r="J47" s="251">
        <f t="shared" si="32"/>
        <v>-2.0990411648219151E-3</v>
      </c>
      <c r="K47" s="251">
        <f t="shared" si="32"/>
        <v>-2.0990411648219151E-3</v>
      </c>
    </row>
    <row r="48" spans="3:11" ht="15" customHeight="1" x14ac:dyDescent="0.25">
      <c r="C48" s="17" t="s">
        <v>26</v>
      </c>
      <c r="D48" s="214">
        <f>D31/D30</f>
        <v>-0.25215872801384326</v>
      </c>
      <c r="E48" s="214">
        <f t="shared" ref="E48:F48" si="33">E31/E30</f>
        <v>-0.25718499983573934</v>
      </c>
      <c r="F48" s="214">
        <f t="shared" si="33"/>
        <v>-0.27229485316686053</v>
      </c>
      <c r="G48" s="251">
        <v>-0.22500000000000001</v>
      </c>
      <c r="H48" s="251">
        <f>G48</f>
        <v>-0.22500000000000001</v>
      </c>
      <c r="I48" s="251">
        <f t="shared" ref="I48:K48" si="34">H48</f>
        <v>-0.22500000000000001</v>
      </c>
      <c r="J48" s="251">
        <f t="shared" si="34"/>
        <v>-0.22500000000000001</v>
      </c>
      <c r="K48" s="251">
        <f t="shared" si="34"/>
        <v>-0.22500000000000001</v>
      </c>
    </row>
    <row r="49" spans="3:11" ht="15" customHeight="1" x14ac:dyDescent="0.25">
      <c r="C49" s="17"/>
      <c r="D49" s="23"/>
      <c r="E49" s="23"/>
      <c r="F49" s="23"/>
      <c r="G49" s="23"/>
      <c r="H49" s="23"/>
      <c r="I49" s="23"/>
      <c r="J49" s="23"/>
      <c r="K49" s="23"/>
    </row>
    <row r="50" spans="3:11" customFormat="1" x14ac:dyDescent="0.25">
      <c r="C50" s="39" t="s">
        <v>44</v>
      </c>
      <c r="D50" s="255"/>
      <c r="E50" s="46"/>
      <c r="F50" s="46"/>
      <c r="G50" s="40"/>
      <c r="H50" s="40"/>
      <c r="I50" s="40"/>
      <c r="J50" s="40"/>
      <c r="K50" s="40"/>
    </row>
    <row r="51" spans="3:11" customFormat="1" x14ac:dyDescent="0.25">
      <c r="C51" t="s">
        <v>42</v>
      </c>
      <c r="D51" s="41">
        <f>D$13</f>
        <v>2023</v>
      </c>
      <c r="E51" s="41">
        <f t="shared" ref="E51:K51" si="35">E$13</f>
        <v>2024</v>
      </c>
      <c r="F51" s="41">
        <f t="shared" si="35"/>
        <v>2025</v>
      </c>
      <c r="G51" s="42">
        <f t="shared" si="35"/>
        <v>2026</v>
      </c>
      <c r="H51" s="42">
        <f t="shared" si="35"/>
        <v>2027</v>
      </c>
      <c r="I51" s="42">
        <f t="shared" si="35"/>
        <v>2028</v>
      </c>
      <c r="J51" s="42">
        <f t="shared" si="35"/>
        <v>2029</v>
      </c>
      <c r="K51" s="42">
        <f t="shared" si="35"/>
        <v>2030</v>
      </c>
    </row>
    <row r="52" spans="3:11" customFormat="1" x14ac:dyDescent="0.25">
      <c r="C52" s="43" t="s">
        <v>43</v>
      </c>
      <c r="D52" s="254">
        <f>D$14</f>
        <v>45291</v>
      </c>
      <c r="E52" s="235">
        <f t="shared" ref="E52:K52" si="36">E$14</f>
        <v>45657</v>
      </c>
      <c r="F52" s="235">
        <f t="shared" si="36"/>
        <v>46022</v>
      </c>
      <c r="G52" s="235">
        <f t="shared" si="36"/>
        <v>46387</v>
      </c>
      <c r="H52" s="235">
        <f t="shared" si="36"/>
        <v>46752</v>
      </c>
      <c r="I52" s="235">
        <f t="shared" si="36"/>
        <v>47118</v>
      </c>
      <c r="J52" s="235">
        <f t="shared" si="36"/>
        <v>47483</v>
      </c>
      <c r="K52" s="235">
        <f t="shared" si="36"/>
        <v>47848</v>
      </c>
    </row>
    <row r="53" spans="3:11" s="35" customFormat="1" ht="15" customHeight="1" x14ac:dyDescent="0.25">
      <c r="C53" s="45" t="s">
        <v>3</v>
      </c>
    </row>
    <row r="54" spans="3:11" ht="15" customHeight="1" x14ac:dyDescent="0.25"/>
    <row r="55" spans="3:11" ht="15" customHeight="1" x14ac:dyDescent="0.25">
      <c r="C55" s="13" t="s">
        <v>4</v>
      </c>
    </row>
    <row r="56" spans="3:11" ht="15" customHeight="1" x14ac:dyDescent="0.25">
      <c r="C56" s="17" t="s">
        <v>197</v>
      </c>
      <c r="D56" s="10">
        <v>1866984477</v>
      </c>
      <c r="E56" s="10">
        <v>3034025532</v>
      </c>
      <c r="F56" s="10">
        <v>2315050051</v>
      </c>
      <c r="G56" s="188">
        <f>G204</f>
        <v>2773015546.140069</v>
      </c>
      <c r="H56" s="188">
        <f t="shared" ref="H56:K56" si="37">H204</f>
        <v>3234269010.6509266</v>
      </c>
      <c r="I56" s="188">
        <f t="shared" si="37"/>
        <v>3647366554.8630385</v>
      </c>
      <c r="J56" s="188">
        <f t="shared" si="37"/>
        <v>4001335833.4621143</v>
      </c>
      <c r="K56" s="188">
        <f t="shared" si="37"/>
        <v>4341241262.506896</v>
      </c>
    </row>
    <row r="57" spans="3:11" ht="15" customHeight="1" x14ac:dyDescent="0.25">
      <c r="C57" s="17" t="s">
        <v>205</v>
      </c>
      <c r="D57" s="10">
        <v>105537703</v>
      </c>
      <c r="E57" s="10">
        <v>174828115</v>
      </c>
      <c r="F57" s="10">
        <v>243511563</v>
      </c>
      <c r="G57" s="19">
        <f>G205</f>
        <v>292575081.59496593</v>
      </c>
      <c r="H57" s="19">
        <f t="shared" ref="H57:K57" si="38">H205</f>
        <v>342287513.8778249</v>
      </c>
      <c r="I57" s="19">
        <f t="shared" si="38"/>
        <v>387193716.44914812</v>
      </c>
      <c r="J57" s="19">
        <f t="shared" si="38"/>
        <v>426080809.88465774</v>
      </c>
      <c r="K57" s="19">
        <f t="shared" si="38"/>
        <v>463706422.15657771</v>
      </c>
    </row>
    <row r="58" spans="3:11" ht="15" customHeight="1" x14ac:dyDescent="0.25">
      <c r="C58" s="17" t="s">
        <v>232</v>
      </c>
      <c r="D58" s="10">
        <v>603531291</v>
      </c>
      <c r="E58" s="10">
        <v>536108374</v>
      </c>
      <c r="F58" s="10">
        <v>947732627</v>
      </c>
      <c r="G58" s="19">
        <f>G207</f>
        <v>1138684944.8078835</v>
      </c>
      <c r="H58" s="19">
        <f t="shared" ref="H58:K58" si="39">H207</f>
        <v>1332162796.3791189</v>
      </c>
      <c r="I58" s="19">
        <f t="shared" si="39"/>
        <v>1506935085.6585166</v>
      </c>
      <c r="J58" s="19">
        <f t="shared" si="39"/>
        <v>1658281357.5315692</v>
      </c>
      <c r="K58" s="19">
        <f t="shared" si="39"/>
        <v>1804718019.1900146</v>
      </c>
    </row>
    <row r="59" spans="3:11" ht="15" customHeight="1" x14ac:dyDescent="0.25">
      <c r="C59" s="17" t="s">
        <v>233</v>
      </c>
      <c r="D59" s="10">
        <v>54057426</v>
      </c>
      <c r="E59" s="10">
        <v>136103684</v>
      </c>
      <c r="F59" s="10">
        <v>89033817</v>
      </c>
      <c r="G59" s="19">
        <f>G206</f>
        <v>106972646.1962148</v>
      </c>
      <c r="H59" s="19">
        <f t="shared" ref="H59:K59" si="40">H206</f>
        <v>125148734.19782217</v>
      </c>
      <c r="I59" s="19">
        <f t="shared" si="40"/>
        <v>141567546.39977136</v>
      </c>
      <c r="J59" s="19">
        <f t="shared" si="40"/>
        <v>155785624.2517831</v>
      </c>
      <c r="K59" s="19">
        <f t="shared" si="40"/>
        <v>169542473.56218353</v>
      </c>
    </row>
    <row r="60" spans="3:11" ht="15" customHeight="1" x14ac:dyDescent="0.25">
      <c r="C60" s="17" t="s">
        <v>234</v>
      </c>
      <c r="D60" s="10">
        <v>346432739</v>
      </c>
      <c r="E60" s="10">
        <v>805867012</v>
      </c>
      <c r="F60" s="10">
        <v>3445357884</v>
      </c>
      <c r="G60" s="19">
        <f>F60</f>
        <v>3445357884</v>
      </c>
      <c r="H60" s="19">
        <f t="shared" ref="H60:K60" si="41">G60</f>
        <v>3445357884</v>
      </c>
      <c r="I60" s="19">
        <f t="shared" si="41"/>
        <v>3445357884</v>
      </c>
      <c r="J60" s="19">
        <f t="shared" si="41"/>
        <v>3445357884</v>
      </c>
      <c r="K60" s="19">
        <f t="shared" si="41"/>
        <v>3445357884</v>
      </c>
    </row>
    <row r="61" spans="3:11" ht="15" customHeight="1" x14ac:dyDescent="0.25">
      <c r="C61" s="17" t="s">
        <v>235</v>
      </c>
      <c r="D61" s="10">
        <v>1009903473</v>
      </c>
      <c r="E61" s="10">
        <v>518293282</v>
      </c>
      <c r="F61" s="10">
        <v>716765194</v>
      </c>
      <c r="G61" s="19">
        <f ca="1">G152</f>
        <v>998693222.43185043</v>
      </c>
      <c r="H61" s="19">
        <f t="shared" ref="H61:K61" ca="1" si="42">H152</f>
        <v>1403163487.6020288</v>
      </c>
      <c r="I61" s="19">
        <f t="shared" ca="1" si="42"/>
        <v>1902569599.8672557</v>
      </c>
      <c r="J61" s="19">
        <f t="shared" ca="1" si="42"/>
        <v>2487510932.8638868</v>
      </c>
      <c r="K61" s="19">
        <f t="shared" ca="1" si="42"/>
        <v>3147685131.6655436</v>
      </c>
    </row>
    <row r="62" spans="3:11" ht="15" customHeight="1" x14ac:dyDescent="0.25">
      <c r="C62" s="17" t="s">
        <v>236</v>
      </c>
      <c r="D62" s="10">
        <v>0</v>
      </c>
      <c r="E62" s="10">
        <v>0</v>
      </c>
      <c r="F62" s="10">
        <v>578992890</v>
      </c>
      <c r="G62" s="19">
        <f>F62</f>
        <v>578992890</v>
      </c>
      <c r="H62" s="19">
        <f t="shared" ref="H62:K62" si="43">G62</f>
        <v>578992890</v>
      </c>
      <c r="I62" s="19">
        <f t="shared" si="43"/>
        <v>578992890</v>
      </c>
      <c r="J62" s="19">
        <f t="shared" si="43"/>
        <v>578992890</v>
      </c>
      <c r="K62" s="19">
        <f t="shared" si="43"/>
        <v>578992890</v>
      </c>
    </row>
    <row r="63" spans="3:11" ht="15" customHeight="1" x14ac:dyDescent="0.25">
      <c r="C63" s="11" t="s">
        <v>5</v>
      </c>
      <c r="D63" s="12">
        <f>SUM(D56:D62)</f>
        <v>3986447109</v>
      </c>
      <c r="E63" s="12">
        <f t="shared" ref="E63:G63" si="44">SUM(E56:E62)</f>
        <v>5205225999</v>
      </c>
      <c r="F63" s="12">
        <f t="shared" si="44"/>
        <v>8336444026</v>
      </c>
      <c r="G63" s="12">
        <f t="shared" ca="1" si="44"/>
        <v>9334292215.1709824</v>
      </c>
      <c r="H63" s="12">
        <f t="shared" ref="H63:K63" ca="1" si="45">SUM(H56:H62)</f>
        <v>10461382316.707722</v>
      </c>
      <c r="I63" s="12">
        <f t="shared" ca="1" si="45"/>
        <v>11609983277.237732</v>
      </c>
      <c r="J63" s="12">
        <f t="shared" ca="1" si="45"/>
        <v>12753345331.994011</v>
      </c>
      <c r="K63" s="12">
        <f t="shared" ca="1" si="45"/>
        <v>13951244083.081215</v>
      </c>
    </row>
    <row r="64" spans="3:11" ht="15" customHeight="1" x14ac:dyDescent="0.25">
      <c r="E64" s="18"/>
      <c r="F64" s="18"/>
      <c r="G64" s="18"/>
      <c r="H64" s="18"/>
      <c r="I64" s="18"/>
      <c r="J64" s="18"/>
      <c r="K64" s="18"/>
    </row>
    <row r="65" spans="3:11" ht="15" customHeight="1" x14ac:dyDescent="0.25">
      <c r="C65" s="13" t="s">
        <v>6</v>
      </c>
      <c r="E65" s="18"/>
      <c r="F65" s="18"/>
      <c r="G65" s="18"/>
      <c r="H65" s="18"/>
      <c r="I65" s="18"/>
      <c r="J65" s="18"/>
      <c r="K65" s="18"/>
    </row>
    <row r="66" spans="3:11" ht="15" customHeight="1" x14ac:dyDescent="0.25">
      <c r="C66" s="24" t="s">
        <v>230</v>
      </c>
      <c r="D66" s="10">
        <v>3371603358</v>
      </c>
      <c r="E66" s="10">
        <v>4491126453</v>
      </c>
      <c r="F66" s="10">
        <v>5473026194</v>
      </c>
      <c r="G66" s="19">
        <f>G163</f>
        <v>6383947412.3159304</v>
      </c>
      <c r="H66" s="19">
        <f t="shared" ref="H66:K66" si="46">H163</f>
        <v>7449646368.8236599</v>
      </c>
      <c r="I66" s="19">
        <f t="shared" si="46"/>
        <v>8655159052.9161644</v>
      </c>
      <c r="J66" s="19">
        <f t="shared" si="46"/>
        <v>9981745200.736105</v>
      </c>
      <c r="K66" s="19">
        <f t="shared" si="46"/>
        <v>11425477239.394651</v>
      </c>
    </row>
    <row r="67" spans="3:11" ht="15" customHeight="1" x14ac:dyDescent="0.25">
      <c r="C67" s="17" t="s">
        <v>231</v>
      </c>
      <c r="D67" s="10">
        <v>122057438</v>
      </c>
      <c r="E67" s="10">
        <v>202114513</v>
      </c>
      <c r="F67" s="10">
        <v>471665836</v>
      </c>
      <c r="G67" s="19">
        <f>G283</f>
        <v>605480005.74568033</v>
      </c>
      <c r="H67" s="19">
        <f t="shared" ref="H67:K67" si="47">H283</f>
        <v>762030998.51711071</v>
      </c>
      <c r="I67" s="19">
        <f t="shared" si="47"/>
        <v>939120603.73890626</v>
      </c>
      <c r="J67" s="19">
        <f t="shared" si="47"/>
        <v>1133995879.8849919</v>
      </c>
      <c r="K67" s="19">
        <f t="shared" si="47"/>
        <v>1346079867.1758976</v>
      </c>
    </row>
    <row r="68" spans="3:11" ht="15" customHeight="1" x14ac:dyDescent="0.25">
      <c r="C68" s="17" t="s">
        <v>203</v>
      </c>
      <c r="D68" s="10">
        <v>181837263</v>
      </c>
      <c r="E68" s="10">
        <v>216142451</v>
      </c>
      <c r="F68" s="10">
        <v>298916619</v>
      </c>
      <c r="G68" s="19">
        <f>G271</f>
        <v>357663176.05348539</v>
      </c>
      <c r="H68" s="19">
        <f t="shared" ref="H68:K68" si="48">H271</f>
        <v>426391561.44126302</v>
      </c>
      <c r="I68" s="19">
        <f t="shared" si="48"/>
        <v>504136725.62315446</v>
      </c>
      <c r="J68" s="19">
        <f t="shared" si="48"/>
        <v>589690083.31455326</v>
      </c>
      <c r="K68" s="19">
        <f t="shared" si="48"/>
        <v>682798339.96028149</v>
      </c>
    </row>
    <row r="69" spans="3:11" ht="15" customHeight="1" x14ac:dyDescent="0.25">
      <c r="C69" s="17" t="s">
        <v>204</v>
      </c>
      <c r="D69" s="10">
        <v>81397483</v>
      </c>
      <c r="E69" s="10">
        <v>126928384</v>
      </c>
      <c r="F69" s="10">
        <v>158769416</v>
      </c>
      <c r="G69" s="19">
        <f>F69</f>
        <v>158769416</v>
      </c>
      <c r="H69" s="19">
        <f t="shared" ref="H69:K69" si="49">G69</f>
        <v>158769416</v>
      </c>
      <c r="I69" s="19">
        <f t="shared" si="49"/>
        <v>158769416</v>
      </c>
      <c r="J69" s="19">
        <f t="shared" si="49"/>
        <v>158769416</v>
      </c>
      <c r="K69" s="19">
        <f t="shared" si="49"/>
        <v>158769416</v>
      </c>
    </row>
    <row r="70" spans="3:11" ht="15" customHeight="1" x14ac:dyDescent="0.25">
      <c r="C70" s="11" t="s">
        <v>7</v>
      </c>
      <c r="D70" s="12">
        <f>SUM(D66:D69)</f>
        <v>3756895542</v>
      </c>
      <c r="E70" s="12">
        <f t="shared" ref="E70:G70" si="50">SUM(E66:E69)</f>
        <v>5036311801</v>
      </c>
      <c r="F70" s="12">
        <f t="shared" si="50"/>
        <v>6402378065</v>
      </c>
      <c r="G70" s="12">
        <f t="shared" si="50"/>
        <v>7505860010.115097</v>
      </c>
      <c r="H70" s="12">
        <f t="shared" ref="H70:K70" si="51">SUM(H66:H69)</f>
        <v>8796838344.7820339</v>
      </c>
      <c r="I70" s="12">
        <f t="shared" si="51"/>
        <v>10257185798.278225</v>
      </c>
      <c r="J70" s="12">
        <f t="shared" si="51"/>
        <v>11864200579.93565</v>
      </c>
      <c r="K70" s="12">
        <f t="shared" si="51"/>
        <v>13613124862.53083</v>
      </c>
    </row>
    <row r="71" spans="3:11" ht="15" customHeight="1" x14ac:dyDescent="0.25">
      <c r="E71" s="19"/>
      <c r="F71" s="19"/>
      <c r="G71" s="19"/>
      <c r="H71" s="19"/>
      <c r="I71" s="19"/>
      <c r="J71" s="19"/>
      <c r="K71" s="19"/>
    </row>
    <row r="72" spans="3:11" ht="15" customHeight="1" x14ac:dyDescent="0.25">
      <c r="C72" s="13" t="s">
        <v>8</v>
      </c>
      <c r="D72" s="14">
        <f>D63+D70</f>
        <v>7743342651</v>
      </c>
      <c r="E72" s="14">
        <f t="shared" ref="E72:K72" si="52">E63+E70</f>
        <v>10241537800</v>
      </c>
      <c r="F72" s="14">
        <f t="shared" si="52"/>
        <v>14738822091</v>
      </c>
      <c r="G72" s="14">
        <f t="shared" ca="1" si="52"/>
        <v>16840152225.286079</v>
      </c>
      <c r="H72" s="14">
        <f t="shared" ca="1" si="52"/>
        <v>19258220661.489754</v>
      </c>
      <c r="I72" s="14">
        <f t="shared" ca="1" si="52"/>
        <v>21867169075.515957</v>
      </c>
      <c r="J72" s="14">
        <f t="shared" ca="1" si="52"/>
        <v>24617545911.929661</v>
      </c>
      <c r="K72" s="14">
        <f t="shared" ca="1" si="52"/>
        <v>27564368945.612045</v>
      </c>
    </row>
    <row r="73" spans="3:11" ht="15" customHeight="1" x14ac:dyDescent="0.25">
      <c r="E73" s="18"/>
      <c r="F73" s="18"/>
      <c r="G73" s="18"/>
      <c r="H73" s="18"/>
      <c r="I73" s="18"/>
      <c r="J73" s="18"/>
      <c r="K73" s="18"/>
    </row>
    <row r="74" spans="3:11" s="35" customFormat="1" ht="15" customHeight="1" x14ac:dyDescent="0.25">
      <c r="C74" s="45" t="s">
        <v>9</v>
      </c>
      <c r="D74" s="256"/>
      <c r="E74" s="47"/>
      <c r="F74" s="47"/>
      <c r="G74" s="220"/>
      <c r="H74" s="220"/>
      <c r="I74" s="220"/>
      <c r="J74" s="220"/>
      <c r="K74" s="220"/>
    </row>
    <row r="75" spans="3:11" ht="15" customHeight="1" x14ac:dyDescent="0.25">
      <c r="E75" s="18"/>
      <c r="F75" s="18"/>
      <c r="G75" s="18"/>
      <c r="H75" s="18"/>
      <c r="I75" s="18"/>
      <c r="J75" s="18"/>
      <c r="K75" s="18"/>
    </row>
    <row r="76" spans="3:11" ht="15" customHeight="1" x14ac:dyDescent="0.25">
      <c r="C76" s="13" t="s">
        <v>10</v>
      </c>
      <c r="E76" s="18"/>
      <c r="F76" s="18"/>
      <c r="G76" s="18"/>
      <c r="H76" s="18"/>
      <c r="I76" s="18"/>
      <c r="J76" s="18"/>
      <c r="K76" s="18"/>
    </row>
    <row r="77" spans="3:11" ht="15" customHeight="1" x14ac:dyDescent="0.25">
      <c r="C77" s="17" t="s">
        <v>237</v>
      </c>
      <c r="D77" s="10">
        <v>105601704</v>
      </c>
      <c r="E77" s="10">
        <v>99601868</v>
      </c>
      <c r="F77" s="10">
        <v>111646561</v>
      </c>
      <c r="G77" s="19">
        <f>G212</f>
        <v>134141480.97095639</v>
      </c>
      <c r="H77" s="19">
        <f t="shared" ref="H77:K77" si="53">H212</f>
        <v>156933918.56590781</v>
      </c>
      <c r="I77" s="19">
        <f t="shared" si="53"/>
        <v>177522768.73339489</v>
      </c>
      <c r="J77" s="19">
        <f t="shared" si="53"/>
        <v>195351943.64350101</v>
      </c>
      <c r="K77" s="19">
        <f t="shared" si="53"/>
        <v>212602747.52290145</v>
      </c>
    </row>
    <row r="78" spans="3:11" ht="15" customHeight="1" x14ac:dyDescent="0.25">
      <c r="C78" s="17" t="s">
        <v>238</v>
      </c>
      <c r="D78" s="10">
        <v>596722472</v>
      </c>
      <c r="E78" s="10">
        <v>808368965</v>
      </c>
      <c r="F78" s="10">
        <v>771424343</v>
      </c>
      <c r="G78" s="19">
        <f>F78</f>
        <v>771424343</v>
      </c>
      <c r="H78" s="19">
        <f t="shared" ref="H78:K78" si="54">G78</f>
        <v>771424343</v>
      </c>
      <c r="I78" s="19">
        <f t="shared" si="54"/>
        <v>771424343</v>
      </c>
      <c r="J78" s="19">
        <f t="shared" si="54"/>
        <v>771424343</v>
      </c>
      <c r="K78" s="19">
        <f t="shared" si="54"/>
        <v>771424343</v>
      </c>
    </row>
    <row r="79" spans="3:11" ht="15" customHeight="1" x14ac:dyDescent="0.25">
      <c r="C79" s="17" t="s">
        <v>239</v>
      </c>
      <c r="D79" s="10">
        <v>960343470</v>
      </c>
      <c r="E79" s="10">
        <v>989684681</v>
      </c>
      <c r="F79" s="10">
        <v>1582315367</v>
      </c>
      <c r="G79" s="19">
        <f>G211</f>
        <v>1895330560.8628197</v>
      </c>
      <c r="H79" s="19">
        <f t="shared" ref="H79:K79" si="55">H211</f>
        <v>2210593051.4781985</v>
      </c>
      <c r="I79" s="19">
        <f t="shared" si="55"/>
        <v>2492941414.5273852</v>
      </c>
      <c r="J79" s="19">
        <f t="shared" si="55"/>
        <v>2734876153.1440678</v>
      </c>
      <c r="K79" s="19">
        <f t="shared" si="55"/>
        <v>2967198380.2475219</v>
      </c>
    </row>
    <row r="80" spans="3:11" ht="15" customHeight="1" x14ac:dyDescent="0.25">
      <c r="C80" s="17" t="s">
        <v>240</v>
      </c>
      <c r="D80" s="10">
        <v>357913045</v>
      </c>
      <c r="E80" s="10">
        <v>643699632</v>
      </c>
      <c r="F80" s="10">
        <v>932749514</v>
      </c>
      <c r="G80" s="19">
        <f>G213</f>
        <v>1119546685.1835766</v>
      </c>
      <c r="H80" s="19">
        <f t="shared" ref="H80:K80" si="56">H213</f>
        <v>1309772689.6378305</v>
      </c>
      <c r="I80" s="19">
        <f t="shared" si="56"/>
        <v>1481607522.4569361</v>
      </c>
      <c r="J80" s="19">
        <f t="shared" si="56"/>
        <v>1630410066.7980802</v>
      </c>
      <c r="K80" s="19">
        <f t="shared" si="56"/>
        <v>1774385518.3894958</v>
      </c>
    </row>
    <row r="81" spans="3:11" ht="15" customHeight="1" x14ac:dyDescent="0.25">
      <c r="C81" s="17" t="s">
        <v>241</v>
      </c>
      <c r="D81" s="10">
        <v>297757496</v>
      </c>
      <c r="E81" s="10">
        <v>372890145</v>
      </c>
      <c r="F81" s="10">
        <v>813869286</v>
      </c>
      <c r="G81" s="19">
        <f>F81</f>
        <v>813869286</v>
      </c>
      <c r="H81" s="19">
        <f t="shared" ref="H81:K81" si="57">G81</f>
        <v>813869286</v>
      </c>
      <c r="I81" s="19">
        <f t="shared" si="57"/>
        <v>813869286</v>
      </c>
      <c r="J81" s="19">
        <f t="shared" si="57"/>
        <v>813869286</v>
      </c>
      <c r="K81" s="19">
        <f t="shared" si="57"/>
        <v>813869286</v>
      </c>
    </row>
    <row r="82" spans="3:11" ht="15" customHeight="1" x14ac:dyDescent="0.25">
      <c r="C82" s="17" t="s">
        <v>242</v>
      </c>
      <c r="D82" s="10">
        <v>3003960</v>
      </c>
      <c r="E82" s="10">
        <v>3692047</v>
      </c>
      <c r="F82" s="10">
        <v>2587049</v>
      </c>
      <c r="G82" s="19">
        <f>F82</f>
        <v>2587049</v>
      </c>
      <c r="H82" s="19">
        <f t="shared" ref="H82:K82" si="58">G82</f>
        <v>2587049</v>
      </c>
      <c r="I82" s="19">
        <f t="shared" si="58"/>
        <v>2587049</v>
      </c>
      <c r="J82" s="19">
        <f t="shared" si="58"/>
        <v>2587049</v>
      </c>
      <c r="K82" s="19">
        <f t="shared" si="58"/>
        <v>2587049</v>
      </c>
    </row>
    <row r="83" spans="3:11" ht="15" customHeight="1" x14ac:dyDescent="0.25">
      <c r="C83" s="17" t="s">
        <v>243</v>
      </c>
      <c r="D83" s="10">
        <v>388769823</v>
      </c>
      <c r="E83" s="10">
        <v>248382615</v>
      </c>
      <c r="F83" s="10">
        <v>514276098</v>
      </c>
      <c r="G83" s="19">
        <f ca="1" xml:space="preserve"> ABS(G31) * F86</f>
        <v>542541523.11155641</v>
      </c>
      <c r="H83" s="19">
        <f t="shared" ref="H83:K83" ca="1" si="59" xml:space="preserve"> ABS(H31) * G86</f>
        <v>630352220.29505515</v>
      </c>
      <c r="I83" s="19">
        <f t="shared" ca="1" si="59"/>
        <v>717616484.99944639</v>
      </c>
      <c r="J83" s="19">
        <f t="shared" ca="1" si="59"/>
        <v>795587533.80732536</v>
      </c>
      <c r="K83" s="19">
        <f t="shared" ca="1" si="59"/>
        <v>872355439.87794471</v>
      </c>
    </row>
    <row r="84" spans="3:11" ht="15" customHeight="1" x14ac:dyDescent="0.25">
      <c r="C84" s="17" t="s">
        <v>244</v>
      </c>
      <c r="D84" s="10">
        <v>10817949</v>
      </c>
      <c r="E84" s="10">
        <v>7854699</v>
      </c>
      <c r="F84" s="10">
        <v>16267911</v>
      </c>
      <c r="G84" s="19">
        <f>G296*G297</f>
        <v>21279021.80468614</v>
      </c>
      <c r="H84" s="19">
        <f t="shared" ref="H84:K84" si="60">H296*H297</f>
        <v>27141587.576698348</v>
      </c>
      <c r="I84" s="19">
        <f t="shared" si="60"/>
        <v>33773289.105849668</v>
      </c>
      <c r="J84" s="19">
        <f t="shared" si="60"/>
        <v>41071033.460709892</v>
      </c>
      <c r="K84" s="19">
        <f t="shared" si="60"/>
        <v>49013214.488580309</v>
      </c>
    </row>
    <row r="85" spans="3:11" ht="15" customHeight="1" x14ac:dyDescent="0.25">
      <c r="C85" s="11" t="s">
        <v>11</v>
      </c>
      <c r="D85" s="12">
        <f>SUM(D77:D84)</f>
        <v>2720929919</v>
      </c>
      <c r="E85" s="12">
        <f t="shared" ref="E85:G85" si="61">SUM(E77:E84)</f>
        <v>3174174652</v>
      </c>
      <c r="F85" s="12">
        <f t="shared" si="61"/>
        <v>4745136129</v>
      </c>
      <c r="G85" s="12">
        <f t="shared" ca="1" si="61"/>
        <v>5300719949.9335957</v>
      </c>
      <c r="H85" s="12">
        <f t="shared" ref="H85:K85" ca="1" si="62">SUM(H77:H84)</f>
        <v>5922674145.5536909</v>
      </c>
      <c r="I85" s="12">
        <f t="shared" ca="1" si="62"/>
        <v>6491342157.8230124</v>
      </c>
      <c r="J85" s="12">
        <f t="shared" ca="1" si="62"/>
        <v>6985177408.8536844</v>
      </c>
      <c r="K85" s="12">
        <f t="shared" ca="1" si="62"/>
        <v>7463435978.5264454</v>
      </c>
    </row>
    <row r="86" spans="3:11" ht="15" customHeight="1" x14ac:dyDescent="0.25">
      <c r="D86" s="275">
        <f t="shared" ref="D86:E86" si="63">-D83/D31</f>
        <v>0.71458912471394576</v>
      </c>
      <c r="E86" s="275">
        <f t="shared" si="63"/>
        <v>0.44649227030214372</v>
      </c>
      <c r="F86" s="275">
        <f>-F83/F31</f>
        <v>0.50992343743119672</v>
      </c>
      <c r="G86" s="276">
        <f>F86</f>
        <v>0.50992343743119672</v>
      </c>
      <c r="H86" s="276">
        <f t="shared" ref="H86:K86" si="64">G86</f>
        <v>0.50992343743119672</v>
      </c>
      <c r="I86" s="276">
        <f t="shared" si="64"/>
        <v>0.50992343743119672</v>
      </c>
      <c r="J86" s="276">
        <f t="shared" si="64"/>
        <v>0.50992343743119672</v>
      </c>
      <c r="K86" s="276">
        <f t="shared" si="64"/>
        <v>0.50992343743119672</v>
      </c>
    </row>
    <row r="87" spans="3:11" ht="15" customHeight="1" x14ac:dyDescent="0.25">
      <c r="C87" s="13" t="s">
        <v>12</v>
      </c>
      <c r="E87" s="18"/>
      <c r="F87" s="18"/>
      <c r="G87" s="18"/>
      <c r="H87" s="18"/>
      <c r="I87" s="18"/>
      <c r="J87" s="18"/>
      <c r="K87" s="18"/>
    </row>
    <row r="88" spans="3:11" ht="15" customHeight="1" x14ac:dyDescent="0.25">
      <c r="C88" s="17" t="s">
        <v>245</v>
      </c>
      <c r="D88" s="10">
        <v>1129283746</v>
      </c>
      <c r="E88" s="10">
        <v>2282057066</v>
      </c>
      <c r="F88" s="10">
        <v>2886725728</v>
      </c>
      <c r="G88" s="19">
        <f>F88</f>
        <v>2886725728</v>
      </c>
      <c r="H88" s="19">
        <f t="shared" ref="H88:K88" si="65">G88</f>
        <v>2886725728</v>
      </c>
      <c r="I88" s="19">
        <f t="shared" si="65"/>
        <v>2886725728</v>
      </c>
      <c r="J88" s="19">
        <f t="shared" si="65"/>
        <v>2886725728</v>
      </c>
      <c r="K88" s="19">
        <f t="shared" si="65"/>
        <v>2886725728</v>
      </c>
    </row>
    <row r="89" spans="3:11" ht="15" customHeight="1" x14ac:dyDescent="0.25">
      <c r="C89" s="17" t="s">
        <v>242</v>
      </c>
      <c r="D89" s="10">
        <v>17216439</v>
      </c>
      <c r="E89" s="10">
        <v>19343101</v>
      </c>
      <c r="F89" s="10">
        <v>17841111</v>
      </c>
      <c r="G89" s="19">
        <f>F89</f>
        <v>17841111</v>
      </c>
      <c r="H89" s="19">
        <f t="shared" ref="H89:K89" si="66">G89</f>
        <v>17841111</v>
      </c>
      <c r="I89" s="19">
        <f t="shared" si="66"/>
        <v>17841111</v>
      </c>
      <c r="J89" s="19">
        <f t="shared" si="66"/>
        <v>17841111</v>
      </c>
      <c r="K89" s="19">
        <f t="shared" si="66"/>
        <v>17841111</v>
      </c>
    </row>
    <row r="90" spans="3:11" ht="15" customHeight="1" x14ac:dyDescent="0.25">
      <c r="C90" s="17" t="s">
        <v>246</v>
      </c>
      <c r="D90" s="10">
        <v>55143601</v>
      </c>
      <c r="E90" s="10">
        <v>75262582</v>
      </c>
      <c r="F90" s="10">
        <v>114366146</v>
      </c>
      <c r="G90" s="19">
        <f>G310</f>
        <v>157963892.11466682</v>
      </c>
      <c r="H90" s="19">
        <f t="shared" ref="H90:K90" si="67">H310</f>
        <v>207036248.04780671</v>
      </c>
      <c r="I90" s="19">
        <f t="shared" si="67"/>
        <v>260278751.60355911</v>
      </c>
      <c r="J90" s="19">
        <f t="shared" si="67"/>
        <v>316272633.01762956</v>
      </c>
      <c r="K90" s="19">
        <f t="shared" si="67"/>
        <v>374570355.32955325</v>
      </c>
    </row>
    <row r="91" spans="3:11" ht="15" customHeight="1" x14ac:dyDescent="0.25">
      <c r="C91" s="17" t="s">
        <v>247</v>
      </c>
      <c r="D91" s="10">
        <v>240116669</v>
      </c>
      <c r="E91" s="10">
        <v>302414061</v>
      </c>
      <c r="F91" s="10">
        <v>369666761</v>
      </c>
      <c r="G91" s="19">
        <f xml:space="preserve"> G163 * F94</f>
        <v>431193471.15354979</v>
      </c>
      <c r="H91" s="19">
        <f t="shared" ref="H91:K91" si="68" xml:space="preserve"> H163 * G94</f>
        <v>503174394.95858794</v>
      </c>
      <c r="I91" s="19">
        <f t="shared" si="68"/>
        <v>584598812.36068976</v>
      </c>
      <c r="J91" s="19">
        <f t="shared" si="68"/>
        <v>674200942.34677994</v>
      </c>
      <c r="K91" s="19">
        <f t="shared" si="68"/>
        <v>771715503.31634355</v>
      </c>
    </row>
    <row r="92" spans="3:11" ht="15" customHeight="1" x14ac:dyDescent="0.25">
      <c r="C92" s="17" t="s">
        <v>244</v>
      </c>
      <c r="D92" s="10">
        <v>132705608</v>
      </c>
      <c r="E92" s="10">
        <v>230717192</v>
      </c>
      <c r="F92" s="10">
        <v>512767017</v>
      </c>
      <c r="G92" s="19">
        <f>(1-G297)*G296</f>
        <v>670717988.03588665</v>
      </c>
      <c r="H92" s="19">
        <f t="shared" ref="H92:K92" si="69">(1-H297)*H296</f>
        <v>855506948.51649189</v>
      </c>
      <c r="I92" s="19">
        <f t="shared" si="69"/>
        <v>1064539184.477044</v>
      </c>
      <c r="J92" s="19">
        <f t="shared" si="69"/>
        <v>1294565191.1149132</v>
      </c>
      <c r="K92" s="19">
        <f t="shared" si="69"/>
        <v>1544903939.2267704</v>
      </c>
    </row>
    <row r="93" spans="3:11" ht="15" customHeight="1" x14ac:dyDescent="0.25">
      <c r="C93" s="11" t="s">
        <v>13</v>
      </c>
      <c r="D93" s="12">
        <f>SUM(D88:D92)</f>
        <v>1574466063</v>
      </c>
      <c r="E93" s="12">
        <f t="shared" ref="E93:G93" si="70">SUM(E88:E92)</f>
        <v>2909794002</v>
      </c>
      <c r="F93" s="12">
        <f t="shared" si="70"/>
        <v>3901366763</v>
      </c>
      <c r="G93" s="12">
        <f t="shared" si="70"/>
        <v>4164442190.3041034</v>
      </c>
      <c r="H93" s="12">
        <f t="shared" ref="H93:K93" si="71">SUM(H88:H92)</f>
        <v>4470284430.5228863</v>
      </c>
      <c r="I93" s="12">
        <f t="shared" si="71"/>
        <v>4813983587.4412928</v>
      </c>
      <c r="J93" s="12">
        <f t="shared" si="71"/>
        <v>5189605605.4793224</v>
      </c>
      <c r="K93" s="12">
        <f t="shared" si="71"/>
        <v>5595756636.8726673</v>
      </c>
    </row>
    <row r="94" spans="3:11" ht="15" customHeight="1" x14ac:dyDescent="0.25">
      <c r="D94" s="1">
        <f>D91/D163</f>
        <v>7.1217353734762776E-2</v>
      </c>
      <c r="E94" s="1">
        <f>E91/E163</f>
        <v>6.7335904291448367E-2</v>
      </c>
      <c r="F94" s="1">
        <f>F91/F163</f>
        <v>6.7543393343386576E-2</v>
      </c>
      <c r="G94" s="215">
        <f>F94</f>
        <v>6.7543393343386576E-2</v>
      </c>
      <c r="H94" s="215">
        <f t="shared" ref="H94:K94" si="72">G94</f>
        <v>6.7543393343386576E-2</v>
      </c>
      <c r="I94" s="215">
        <f t="shared" si="72"/>
        <v>6.7543393343386576E-2</v>
      </c>
      <c r="J94" s="215">
        <f t="shared" si="72"/>
        <v>6.7543393343386576E-2</v>
      </c>
      <c r="K94" s="215">
        <f t="shared" si="72"/>
        <v>6.7543393343386576E-2</v>
      </c>
    </row>
    <row r="95" spans="3:11" ht="15" customHeight="1" x14ac:dyDescent="0.25">
      <c r="C95" s="13" t="s">
        <v>14</v>
      </c>
      <c r="D95" s="25">
        <f>D85+D93</f>
        <v>4295395982</v>
      </c>
      <c r="E95" s="25">
        <f t="shared" ref="E95:K95" si="73">E85+E93</f>
        <v>6083968654</v>
      </c>
      <c r="F95" s="25">
        <f t="shared" si="73"/>
        <v>8646502892</v>
      </c>
      <c r="G95" s="25">
        <f t="shared" ca="1" si="73"/>
        <v>9465162140.2376995</v>
      </c>
      <c r="H95" s="25">
        <f t="shared" ca="1" si="73"/>
        <v>10392958576.076576</v>
      </c>
      <c r="I95" s="25">
        <f t="shared" ca="1" si="73"/>
        <v>11305325745.264305</v>
      </c>
      <c r="J95" s="25">
        <f t="shared" ca="1" si="73"/>
        <v>12174783014.333008</v>
      </c>
      <c r="K95" s="25">
        <f t="shared" ca="1" si="73"/>
        <v>13059192615.399113</v>
      </c>
    </row>
    <row r="96" spans="3:11" ht="15" customHeight="1" x14ac:dyDescent="0.25">
      <c r="E96" s="18"/>
      <c r="F96" s="18"/>
      <c r="G96" s="18"/>
      <c r="H96" s="18"/>
      <c r="I96" s="18"/>
      <c r="J96" s="18"/>
      <c r="K96" s="18"/>
    </row>
    <row r="97" spans="3:11" ht="15" customHeight="1" x14ac:dyDescent="0.25">
      <c r="C97" s="13" t="s">
        <v>15</v>
      </c>
      <c r="E97" s="18"/>
      <c r="F97" s="18"/>
      <c r="G97" s="18"/>
      <c r="H97" s="18"/>
      <c r="I97" s="18"/>
      <c r="J97" s="18"/>
      <c r="K97" s="18"/>
    </row>
    <row r="98" spans="3:11" ht="15" customHeight="1" x14ac:dyDescent="0.25">
      <c r="C98" s="17" t="s">
        <v>248</v>
      </c>
      <c r="D98" s="10">
        <v>140002731</v>
      </c>
      <c r="E98" s="10">
        <v>140002731</v>
      </c>
      <c r="F98" s="10">
        <v>280005462</v>
      </c>
      <c r="G98" s="19">
        <f>F98</f>
        <v>280005462</v>
      </c>
      <c r="H98" s="19">
        <f t="shared" ref="H98:K102" si="74">G98</f>
        <v>280005462</v>
      </c>
      <c r="I98" s="19">
        <f t="shared" si="74"/>
        <v>280005462</v>
      </c>
      <c r="J98" s="19">
        <f t="shared" si="74"/>
        <v>280005462</v>
      </c>
      <c r="K98" s="19">
        <f t="shared" si="74"/>
        <v>280005462</v>
      </c>
    </row>
    <row r="99" spans="3:11" ht="15" customHeight="1" x14ac:dyDescent="0.25">
      <c r="C99" s="17" t="s">
        <v>249</v>
      </c>
      <c r="D99" s="10">
        <v>72536289</v>
      </c>
      <c r="E99" s="10">
        <v>72536289</v>
      </c>
      <c r="F99" s="10">
        <v>140002729</v>
      </c>
      <c r="G99" s="19">
        <f t="shared" ref="G99:G102" si="75">F99</f>
        <v>140002729</v>
      </c>
      <c r="H99" s="19">
        <f t="shared" si="74"/>
        <v>140002729</v>
      </c>
      <c r="I99" s="19">
        <f t="shared" si="74"/>
        <v>140002729</v>
      </c>
      <c r="J99" s="19">
        <f t="shared" si="74"/>
        <v>140002729</v>
      </c>
      <c r="K99" s="19">
        <f t="shared" si="74"/>
        <v>140002729</v>
      </c>
    </row>
    <row r="100" spans="3:11" ht="15" customHeight="1" x14ac:dyDescent="0.25">
      <c r="C100" s="17" t="s">
        <v>250</v>
      </c>
      <c r="D100" s="10">
        <v>-51231711</v>
      </c>
      <c r="E100" s="10">
        <v>-210241954</v>
      </c>
      <c r="F100" s="10">
        <v>-143568018</v>
      </c>
      <c r="G100" s="19">
        <f t="shared" si="75"/>
        <v>-143568018</v>
      </c>
      <c r="H100" s="19">
        <f t="shared" si="74"/>
        <v>-143568018</v>
      </c>
      <c r="I100" s="19">
        <f t="shared" si="74"/>
        <v>-143568018</v>
      </c>
      <c r="J100" s="19">
        <f t="shared" si="74"/>
        <v>-143568018</v>
      </c>
      <c r="K100" s="19">
        <f t="shared" si="74"/>
        <v>-143568018</v>
      </c>
    </row>
    <row r="101" spans="3:11" ht="15" customHeight="1" x14ac:dyDescent="0.25">
      <c r="C101" s="17" t="s">
        <v>251</v>
      </c>
      <c r="D101" s="10">
        <v>-32132098</v>
      </c>
      <c r="E101" s="10">
        <v>-32132098</v>
      </c>
      <c r="F101" s="10">
        <v>-32132098</v>
      </c>
      <c r="G101" s="19">
        <f t="shared" si="75"/>
        <v>-32132098</v>
      </c>
      <c r="H101" s="19">
        <f t="shared" si="74"/>
        <v>-32132098</v>
      </c>
      <c r="I101" s="19">
        <f t="shared" si="74"/>
        <v>-32132098</v>
      </c>
      <c r="J101" s="19">
        <f t="shared" si="74"/>
        <v>-32132098</v>
      </c>
      <c r="K101" s="19">
        <f t="shared" si="74"/>
        <v>-32132098</v>
      </c>
    </row>
    <row r="102" spans="3:11" ht="15" customHeight="1" x14ac:dyDescent="0.25">
      <c r="C102" s="17" t="s">
        <v>207</v>
      </c>
      <c r="D102" s="10">
        <v>0</v>
      </c>
      <c r="E102" s="10">
        <v>0</v>
      </c>
      <c r="F102" s="10">
        <v>-192608865</v>
      </c>
      <c r="G102" s="19">
        <f t="shared" si="75"/>
        <v>-192608865</v>
      </c>
      <c r="H102" s="19">
        <f t="shared" si="74"/>
        <v>-192608865</v>
      </c>
      <c r="I102" s="19">
        <f t="shared" si="74"/>
        <v>-192608865</v>
      </c>
      <c r="J102" s="19">
        <f t="shared" si="74"/>
        <v>-192608865</v>
      </c>
      <c r="K102" s="19">
        <f t="shared" si="74"/>
        <v>-192608865</v>
      </c>
    </row>
    <row r="103" spans="3:11" ht="15" customHeight="1" x14ac:dyDescent="0.25">
      <c r="C103" s="17" t="s">
        <v>208</v>
      </c>
      <c r="D103" s="10">
        <v>3244568334</v>
      </c>
      <c r="E103" s="10">
        <v>4085319751</v>
      </c>
      <c r="F103" s="10">
        <v>5672826654</v>
      </c>
      <c r="G103" s="19">
        <f ca="1">G253</f>
        <v>6942670831.1878986</v>
      </c>
      <c r="H103" s="19">
        <f t="shared" ref="H103:K103" ca="1" si="76">H253</f>
        <v>8418040111.5490475</v>
      </c>
      <c r="I103" s="19">
        <f t="shared" ca="1" si="76"/>
        <v>10097655543.939137</v>
      </c>
      <c r="J103" s="19">
        <f t="shared" ca="1" si="76"/>
        <v>11959765915.610691</v>
      </c>
      <c r="K103" s="19">
        <f t="shared" ca="1" si="76"/>
        <v>14001555213.900808</v>
      </c>
    </row>
    <row r="104" spans="3:11" ht="15" customHeight="1" x14ac:dyDescent="0.25">
      <c r="C104" s="270" t="s">
        <v>252</v>
      </c>
      <c r="D104" s="161">
        <f>SUM(D98:D103)</f>
        <v>3373743545</v>
      </c>
      <c r="E104" s="161">
        <f t="shared" ref="E104:G104" si="77">SUM(E98:E103)</f>
        <v>4055484719</v>
      </c>
      <c r="F104" s="161">
        <f t="shared" si="77"/>
        <v>5724525864</v>
      </c>
      <c r="G104" s="161">
        <f t="shared" ca="1" si="77"/>
        <v>6994370041.1878986</v>
      </c>
      <c r="H104" s="161">
        <f t="shared" ref="H104:K104" ca="1" si="78">SUM(H98:H103)</f>
        <v>8469739321.5490475</v>
      </c>
      <c r="I104" s="161">
        <f t="shared" ca="1" si="78"/>
        <v>10149354753.939137</v>
      </c>
      <c r="J104" s="161">
        <f t="shared" ca="1" si="78"/>
        <v>12011465125.610691</v>
      </c>
      <c r="K104" s="161">
        <f t="shared" ca="1" si="78"/>
        <v>14053254423.900808</v>
      </c>
    </row>
    <row r="105" spans="3:11" ht="15" customHeight="1" x14ac:dyDescent="0.25">
      <c r="C105" s="17" t="s">
        <v>253</v>
      </c>
      <c r="D105" s="10">
        <v>74203124</v>
      </c>
      <c r="E105" s="10">
        <v>102084427</v>
      </c>
      <c r="F105" s="10">
        <v>367793335</v>
      </c>
      <c r="G105" s="19">
        <f ca="1">G259</f>
        <v>380620043.86048377</v>
      </c>
      <c r="H105" s="19">
        <f t="shared" ref="H105:K105" ca="1" si="79">H259</f>
        <v>395522763.86413175</v>
      </c>
      <c r="I105" s="19">
        <f t="shared" ca="1" si="79"/>
        <v>412488576.31251651</v>
      </c>
      <c r="J105" s="19">
        <f t="shared" ca="1" si="79"/>
        <v>431297771.98596656</v>
      </c>
      <c r="K105" s="19">
        <f t="shared" ca="1" si="79"/>
        <v>451921906.31212938</v>
      </c>
    </row>
    <row r="106" spans="3:11" ht="15" customHeight="1" x14ac:dyDescent="0.25">
      <c r="C106" s="26" t="s">
        <v>16</v>
      </c>
      <c r="D106" s="12">
        <f>SUM(D104:D105)</f>
        <v>3447946669</v>
      </c>
      <c r="E106" s="12">
        <f t="shared" ref="E106:G106" si="80">SUM(E104:E105)</f>
        <v>4157569146</v>
      </c>
      <c r="F106" s="12">
        <f t="shared" si="80"/>
        <v>6092319199</v>
      </c>
      <c r="G106" s="12">
        <f t="shared" ca="1" si="80"/>
        <v>7374990085.0483828</v>
      </c>
      <c r="H106" s="12">
        <f t="shared" ref="H106:K106" ca="1" si="81">SUM(H104:H105)</f>
        <v>8865262085.4131794</v>
      </c>
      <c r="I106" s="12">
        <f t="shared" ca="1" si="81"/>
        <v>10561843330.251654</v>
      </c>
      <c r="J106" s="12">
        <f t="shared" ca="1" si="81"/>
        <v>12442762897.596657</v>
      </c>
      <c r="K106" s="12">
        <f t="shared" ca="1" si="81"/>
        <v>14505176330.212938</v>
      </c>
    </row>
    <row r="107" spans="3:11" ht="15" customHeight="1" x14ac:dyDescent="0.25">
      <c r="E107" s="19"/>
      <c r="F107" s="19"/>
      <c r="G107" s="19"/>
      <c r="H107" s="19"/>
      <c r="I107" s="19"/>
      <c r="J107" s="19"/>
      <c r="K107" s="19"/>
    </row>
    <row r="108" spans="3:11" ht="15" customHeight="1" x14ac:dyDescent="0.25">
      <c r="C108" s="13" t="s">
        <v>17</v>
      </c>
      <c r="D108" s="14">
        <f>D95+D106</f>
        <v>7743342651</v>
      </c>
      <c r="E108" s="14">
        <f t="shared" ref="E108:K108" si="82">E95+E106</f>
        <v>10241537800</v>
      </c>
      <c r="F108" s="14">
        <f t="shared" si="82"/>
        <v>14738822091</v>
      </c>
      <c r="G108" s="14">
        <f t="shared" ca="1" si="82"/>
        <v>16840152225.286083</v>
      </c>
      <c r="H108" s="14">
        <f t="shared" ca="1" si="82"/>
        <v>19258220661.489754</v>
      </c>
      <c r="I108" s="14">
        <f t="shared" ca="1" si="82"/>
        <v>21867169075.515961</v>
      </c>
      <c r="J108" s="14">
        <f t="shared" ca="1" si="82"/>
        <v>24617545911.929665</v>
      </c>
      <c r="K108" s="14">
        <f t="shared" ca="1" si="82"/>
        <v>27564368945.612053</v>
      </c>
    </row>
    <row r="109" spans="3:11" ht="15" customHeight="1" x14ac:dyDescent="0.25">
      <c r="E109" s="18"/>
      <c r="F109" s="18"/>
      <c r="G109" s="18"/>
      <c r="H109" s="18"/>
      <c r="I109" s="18"/>
      <c r="J109" s="18"/>
      <c r="K109" s="18"/>
    </row>
    <row r="110" spans="3:11" ht="15" customHeight="1" x14ac:dyDescent="0.25">
      <c r="C110" s="6" t="s">
        <v>18</v>
      </c>
      <c r="D110" s="18">
        <f>D72-D108</f>
        <v>0</v>
      </c>
      <c r="E110" s="18">
        <f t="shared" ref="E110:K110" si="83">E72-E108</f>
        <v>0</v>
      </c>
      <c r="F110" s="18">
        <f t="shared" si="83"/>
        <v>0</v>
      </c>
      <c r="G110" s="18">
        <f t="shared" ca="1" si="83"/>
        <v>0</v>
      </c>
      <c r="H110" s="18">
        <f t="shared" ca="1" si="83"/>
        <v>0</v>
      </c>
      <c r="I110" s="18">
        <f t="shared" ca="1" si="83"/>
        <v>0</v>
      </c>
      <c r="J110" s="18">
        <f t="shared" ca="1" si="83"/>
        <v>0</v>
      </c>
      <c r="K110" s="18">
        <f t="shared" ca="1" si="83"/>
        <v>0</v>
      </c>
    </row>
    <row r="111" spans="3:11" ht="15" customHeight="1" x14ac:dyDescent="0.25"/>
    <row r="112" spans="3:11" customFormat="1" x14ac:dyDescent="0.25">
      <c r="C112" s="39" t="s">
        <v>45</v>
      </c>
      <c r="D112" s="255"/>
      <c r="E112" s="46"/>
      <c r="F112" s="46"/>
      <c r="G112" s="46"/>
      <c r="H112" s="46"/>
      <c r="I112" s="46"/>
      <c r="J112" s="46"/>
      <c r="K112" s="46"/>
    </row>
    <row r="113" spans="3:11" customFormat="1" x14ac:dyDescent="0.25">
      <c r="C113" t="s">
        <v>42</v>
      </c>
      <c r="D113" s="41"/>
      <c r="E113" s="41"/>
      <c r="F113" s="42"/>
      <c r="G113" s="42">
        <f t="shared" ref="G113:K113" si="84">G$13</f>
        <v>2026</v>
      </c>
      <c r="H113" s="42">
        <f t="shared" si="84"/>
        <v>2027</v>
      </c>
      <c r="I113" s="42">
        <f t="shared" si="84"/>
        <v>2028</v>
      </c>
      <c r="J113" s="42">
        <f t="shared" si="84"/>
        <v>2029</v>
      </c>
      <c r="K113" s="42">
        <f t="shared" si="84"/>
        <v>2030</v>
      </c>
    </row>
    <row r="114" spans="3:11" customFormat="1" x14ac:dyDescent="0.25">
      <c r="C114" s="43" t="s">
        <v>43</v>
      </c>
      <c r="D114" s="257"/>
      <c r="E114" s="44"/>
      <c r="F114" s="235"/>
      <c r="G114" s="235">
        <f t="shared" ref="G114:K114" si="85">G$14</f>
        <v>46387</v>
      </c>
      <c r="H114" s="235">
        <f t="shared" si="85"/>
        <v>46752</v>
      </c>
      <c r="I114" s="235">
        <f t="shared" si="85"/>
        <v>47118</v>
      </c>
      <c r="J114" s="235">
        <f t="shared" si="85"/>
        <v>47483</v>
      </c>
      <c r="K114" s="235">
        <f t="shared" si="85"/>
        <v>47848</v>
      </c>
    </row>
    <row r="115" spans="3:11" ht="15" customHeight="1" x14ac:dyDescent="0.25"/>
    <row r="116" spans="3:11" s="13" customFormat="1" ht="15" customHeight="1" x14ac:dyDescent="0.25">
      <c r="C116" s="17" t="s">
        <v>221</v>
      </c>
      <c r="D116" s="203"/>
      <c r="E116" s="203"/>
      <c r="F116" s="205"/>
      <c r="G116" s="203">
        <f ca="1">G32</f>
        <v>3664773960.1382337</v>
      </c>
      <c r="H116" s="203">
        <f t="shared" ref="H116:K116" ca="1" si="86">H32</f>
        <v>4257920001.0422778</v>
      </c>
      <c r="I116" s="203">
        <f t="shared" ca="1" si="86"/>
        <v>4847374985.2527781</v>
      </c>
      <c r="J116" s="203">
        <f t="shared" ca="1" si="86"/>
        <v>5374055906.7000141</v>
      </c>
      <c r="K116" s="203">
        <f t="shared" ca="1" si="86"/>
        <v>5892609807.4750824</v>
      </c>
    </row>
    <row r="117" spans="3:11" ht="15" customHeight="1" x14ac:dyDescent="0.25">
      <c r="C117" s="17" t="s">
        <v>209</v>
      </c>
      <c r="D117" s="205"/>
      <c r="E117" s="204"/>
      <c r="F117" s="204"/>
      <c r="G117" s="204">
        <f>G162</f>
        <v>516037259.70026988</v>
      </c>
      <c r="H117" s="204">
        <f t="shared" ref="H117:K117" si="87">H162</f>
        <v>603718914.571329</v>
      </c>
      <c r="I117" s="204">
        <f t="shared" si="87"/>
        <v>682923451.03466105</v>
      </c>
      <c r="J117" s="204">
        <f t="shared" si="87"/>
        <v>751511620.0091784</v>
      </c>
      <c r="K117" s="204">
        <f t="shared" si="87"/>
        <v>817874817.26268137</v>
      </c>
    </row>
    <row r="118" spans="3:11" ht="15" customHeight="1" x14ac:dyDescent="0.25">
      <c r="C118" s="17" t="s">
        <v>212</v>
      </c>
      <c r="D118" s="205"/>
      <c r="E118" s="204"/>
      <c r="F118" s="204"/>
      <c r="G118" s="204">
        <f>G270</f>
        <v>15221730.373686638</v>
      </c>
      <c r="H118" s="204">
        <f t="shared" ref="H118:K118" si="88">H270</f>
        <v>17808106.617024422</v>
      </c>
      <c r="I118" s="204">
        <f t="shared" si="88"/>
        <v>20144430.352868497</v>
      </c>
      <c r="J118" s="204">
        <f t="shared" si="88"/>
        <v>22167599.407679319</v>
      </c>
      <c r="K118" s="204">
        <f t="shared" si="88"/>
        <v>24125137.698451843</v>
      </c>
    </row>
    <row r="119" spans="3:11" ht="15" customHeight="1" x14ac:dyDescent="0.25">
      <c r="C119" s="17" t="s">
        <v>210</v>
      </c>
      <c r="D119" s="205"/>
      <c r="E119" s="204"/>
      <c r="F119" s="204"/>
      <c r="G119" s="204">
        <f>G282</f>
        <v>43021403.966507003</v>
      </c>
      <c r="H119" s="204">
        <f t="shared" ref="H119:K119" si="89">H282</f>
        <v>50331317.783293575</v>
      </c>
      <c r="I119" s="204">
        <f t="shared" si="89"/>
        <v>56934504.46238748</v>
      </c>
      <c r="J119" s="204">
        <f t="shared" si="89"/>
        <v>62652617.387972824</v>
      </c>
      <c r="K119" s="204">
        <f t="shared" si="89"/>
        <v>68185237.104638696</v>
      </c>
    </row>
    <row r="120" spans="3:11" ht="15" customHeight="1" x14ac:dyDescent="0.25">
      <c r="C120" s="17" t="s">
        <v>211</v>
      </c>
      <c r="D120" s="205"/>
      <c r="E120" s="204"/>
      <c r="F120" s="204"/>
      <c r="G120" s="204">
        <f>G90-F90</f>
        <v>43597746.11466682</v>
      </c>
      <c r="H120" s="204">
        <f t="shared" ref="H120:K120" si="90">H90-G90</f>
        <v>49072355.93313989</v>
      </c>
      <c r="I120" s="204">
        <f t="shared" si="90"/>
        <v>53242503.555752397</v>
      </c>
      <c r="J120" s="204">
        <f t="shared" si="90"/>
        <v>55993881.414070457</v>
      </c>
      <c r="K120" s="204">
        <f t="shared" si="90"/>
        <v>58297722.311923683</v>
      </c>
    </row>
    <row r="121" spans="3:11" ht="15" customHeight="1" x14ac:dyDescent="0.25">
      <c r="C121" s="17" t="s">
        <v>297</v>
      </c>
      <c r="D121" s="205"/>
      <c r="E121" s="204"/>
      <c r="F121" s="204"/>
      <c r="G121" s="204">
        <f>G91-F91</f>
        <v>61526710.15354979</v>
      </c>
      <c r="H121" s="204">
        <f t="shared" ref="H121:K121" si="91">H91-G91</f>
        <v>71980923.805038154</v>
      </c>
      <c r="I121" s="204">
        <f t="shared" si="91"/>
        <v>81424417.402101815</v>
      </c>
      <c r="J121" s="204">
        <f t="shared" si="91"/>
        <v>89602129.986090183</v>
      </c>
      <c r="K121" s="204">
        <f t="shared" si="91"/>
        <v>97514560.969563603</v>
      </c>
    </row>
    <row r="122" spans="3:11" ht="15" customHeight="1" x14ac:dyDescent="0.25">
      <c r="C122" s="17" t="s">
        <v>298</v>
      </c>
      <c r="D122" s="205"/>
      <c r="E122" s="204"/>
      <c r="F122" s="204"/>
      <c r="G122" s="204">
        <f ca="1">G83-F83</f>
        <v>28265425.111556411</v>
      </c>
      <c r="H122" s="204">
        <f t="shared" ref="H122:K122" ca="1" si="92">H83-G83</f>
        <v>87810697.18349874</v>
      </c>
      <c r="I122" s="204">
        <f t="shared" ca="1" si="92"/>
        <v>87264264.704391241</v>
      </c>
      <c r="J122" s="204">
        <f t="shared" ca="1" si="92"/>
        <v>77971048.807878971</v>
      </c>
      <c r="K122" s="204">
        <f t="shared" ca="1" si="92"/>
        <v>76767906.070619345</v>
      </c>
    </row>
    <row r="123" spans="3:11" s="13" customFormat="1" ht="15" customHeight="1" x14ac:dyDescent="0.25">
      <c r="C123" s="13" t="s">
        <v>174</v>
      </c>
      <c r="D123" s="203"/>
      <c r="E123" s="203"/>
      <c r="F123" s="203"/>
      <c r="G123" s="203">
        <f ca="1">SUM(G116:G122)</f>
        <v>4372444235.5584698</v>
      </c>
      <c r="H123" s="203">
        <f t="shared" ref="H123:K123" ca="1" si="93">SUM(H116:H122)</f>
        <v>5138642316.9356012</v>
      </c>
      <c r="I123" s="203">
        <f t="shared" ca="1" si="93"/>
        <v>5829308556.7649403</v>
      </c>
      <c r="J123" s="203">
        <f t="shared" ca="1" si="93"/>
        <v>6433954803.712883</v>
      </c>
      <c r="K123" s="203">
        <f t="shared" ca="1" si="93"/>
        <v>7035375188.8929615</v>
      </c>
    </row>
    <row r="124" spans="3:11" s="13" customFormat="1" ht="15" customHeight="1" x14ac:dyDescent="0.25">
      <c r="D124" s="203"/>
      <c r="E124" s="207"/>
      <c r="F124" s="207"/>
      <c r="G124" s="208"/>
      <c r="H124" s="208"/>
      <c r="I124" s="208"/>
      <c r="J124" s="208"/>
      <c r="K124" s="208"/>
    </row>
    <row r="125" spans="3:11" ht="15" customHeight="1" x14ac:dyDescent="0.25">
      <c r="C125" s="201" t="s">
        <v>153</v>
      </c>
      <c r="D125" s="204"/>
      <c r="E125" s="204"/>
      <c r="F125" s="204"/>
      <c r="G125" s="204"/>
      <c r="H125" s="204"/>
      <c r="I125" s="204"/>
      <c r="J125" s="204"/>
      <c r="K125" s="204"/>
    </row>
    <row r="126" spans="3:11" ht="15" customHeight="1" x14ac:dyDescent="0.25">
      <c r="C126" s="17" t="s">
        <v>197</v>
      </c>
      <c r="D126" s="204"/>
      <c r="E126" s="204"/>
      <c r="F126" s="204"/>
      <c r="G126" s="204">
        <f>-(G56-F56)</f>
        <v>-457965495.14006901</v>
      </c>
      <c r="H126" s="204">
        <f t="shared" ref="H126:K126" si="94">-(H56-G56)</f>
        <v>-461253464.51085758</v>
      </c>
      <c r="I126" s="204">
        <f t="shared" si="94"/>
        <v>-413097544.21211195</v>
      </c>
      <c r="J126" s="204">
        <f t="shared" si="94"/>
        <v>-353969278.59907579</v>
      </c>
      <c r="K126" s="204">
        <f t="shared" si="94"/>
        <v>-339905429.04478168</v>
      </c>
    </row>
    <row r="127" spans="3:11" ht="15" customHeight="1" x14ac:dyDescent="0.25">
      <c r="C127" s="17" t="s">
        <v>205</v>
      </c>
      <c r="D127" s="204"/>
      <c r="E127" s="204"/>
      <c r="F127" s="204"/>
      <c r="G127" s="204">
        <f>-(G57-F57)</f>
        <v>-49063518.594965935</v>
      </c>
      <c r="H127" s="204">
        <f t="shared" ref="H127:K127" si="95">-(H57-G57)</f>
        <v>-49712432.282858968</v>
      </c>
      <c r="I127" s="204">
        <f t="shared" si="95"/>
        <v>-44906202.571323216</v>
      </c>
      <c r="J127" s="204">
        <f t="shared" si="95"/>
        <v>-38887093.435509622</v>
      </c>
      <c r="K127" s="204">
        <f t="shared" si="95"/>
        <v>-37625612.271919966</v>
      </c>
    </row>
    <row r="128" spans="3:11" ht="15" customHeight="1" x14ac:dyDescent="0.25">
      <c r="C128" s="17" t="s">
        <v>233</v>
      </c>
      <c r="D128" s="204"/>
      <c r="E128" s="204"/>
      <c r="F128" s="204"/>
      <c r="G128" s="204">
        <f>-(G59-F59)</f>
        <v>-17938829.196214795</v>
      </c>
      <c r="H128" s="204">
        <f t="shared" ref="H128:K128" si="96">-(H59-G59)</f>
        <v>-18176088.001607373</v>
      </c>
      <c r="I128" s="204">
        <f t="shared" si="96"/>
        <v>-16418812.201949194</v>
      </c>
      <c r="J128" s="204">
        <f t="shared" si="96"/>
        <v>-14218077.85201174</v>
      </c>
      <c r="K128" s="204">
        <f t="shared" si="96"/>
        <v>-13756849.310400426</v>
      </c>
    </row>
    <row r="129" spans="3:11" ht="15" customHeight="1" x14ac:dyDescent="0.25">
      <c r="C129" s="17" t="s">
        <v>232</v>
      </c>
      <c r="D129" s="204"/>
      <c r="E129" s="204"/>
      <c r="F129" s="204"/>
      <c r="G129" s="204">
        <f>-(G58-F58)</f>
        <v>-190952317.8078835</v>
      </c>
      <c r="H129" s="204">
        <f t="shared" ref="H129:K129" si="97">-(H58-G58)</f>
        <v>-193477851.57123542</v>
      </c>
      <c r="I129" s="204">
        <f t="shared" si="97"/>
        <v>-174772289.27939773</v>
      </c>
      <c r="J129" s="204">
        <f t="shared" si="97"/>
        <v>-151346271.8730526</v>
      </c>
      <c r="K129" s="204">
        <f t="shared" si="97"/>
        <v>-146436661.65844536</v>
      </c>
    </row>
    <row r="130" spans="3:11" ht="15" customHeight="1" x14ac:dyDescent="0.25">
      <c r="C130" s="17" t="s">
        <v>239</v>
      </c>
      <c r="D130" s="204"/>
      <c r="E130" s="204"/>
      <c r="F130" s="204"/>
      <c r="G130" s="204">
        <f>G79-F79</f>
        <v>313015193.86281967</v>
      </c>
      <c r="H130" s="204">
        <f t="shared" ref="H130:K130" si="98">H79-G79</f>
        <v>315262490.61537886</v>
      </c>
      <c r="I130" s="204">
        <f t="shared" si="98"/>
        <v>282348363.04918671</v>
      </c>
      <c r="J130" s="204">
        <f t="shared" si="98"/>
        <v>241934738.61668253</v>
      </c>
      <c r="K130" s="204">
        <f t="shared" si="98"/>
        <v>232322227.10345411</v>
      </c>
    </row>
    <row r="131" spans="3:11" ht="15" customHeight="1" x14ac:dyDescent="0.25">
      <c r="C131" s="17" t="s">
        <v>237</v>
      </c>
      <c r="D131" s="204"/>
      <c r="E131" s="204"/>
      <c r="F131" s="204"/>
      <c r="G131" s="204">
        <f>G77-F77</f>
        <v>22494919.970956385</v>
      </c>
      <c r="H131" s="204">
        <f t="shared" ref="H131:K131" si="99">H77-G77</f>
        <v>22792437.594951421</v>
      </c>
      <c r="I131" s="204">
        <f t="shared" si="99"/>
        <v>20588850.167487085</v>
      </c>
      <c r="J131" s="204">
        <f t="shared" si="99"/>
        <v>17829174.910106122</v>
      </c>
      <c r="K131" s="204">
        <f t="shared" si="99"/>
        <v>17250803.879400432</v>
      </c>
    </row>
    <row r="132" spans="3:11" ht="15" customHeight="1" x14ac:dyDescent="0.25">
      <c r="C132" s="17" t="s">
        <v>240</v>
      </c>
      <c r="D132" s="204"/>
      <c r="E132" s="204"/>
      <c r="F132" s="204"/>
      <c r="G132" s="204">
        <f>G80-F80</f>
        <v>186797171.18357658</v>
      </c>
      <c r="H132" s="204">
        <f t="shared" ref="H132:K132" si="100">H80-G80</f>
        <v>190226004.45425391</v>
      </c>
      <c r="I132" s="204">
        <f t="shared" si="100"/>
        <v>171834832.81910563</v>
      </c>
      <c r="J132" s="204">
        <f t="shared" si="100"/>
        <v>148802544.34114408</v>
      </c>
      <c r="K132" s="204">
        <f t="shared" si="100"/>
        <v>143975451.59141564</v>
      </c>
    </row>
    <row r="133" spans="3:11" s="13" customFormat="1" ht="15" customHeight="1" x14ac:dyDescent="0.25">
      <c r="C133" s="13" t="s">
        <v>19</v>
      </c>
      <c r="D133" s="207"/>
      <c r="E133" s="207"/>
      <c r="F133" s="207"/>
      <c r="G133" s="207">
        <f>SUM(G126:G132)</f>
        <v>-193612875.7217806</v>
      </c>
      <c r="H133" s="207">
        <f t="shared" ref="H133:K133" si="101">SUM(H126:H132)</f>
        <v>-194338903.70197511</v>
      </c>
      <c r="I133" s="207">
        <f t="shared" si="101"/>
        <v>-174422802.22900265</v>
      </c>
      <c r="J133" s="207">
        <f t="shared" si="101"/>
        <v>-149854263.89171702</v>
      </c>
      <c r="K133" s="207">
        <f t="shared" si="101"/>
        <v>-144176069.71127731</v>
      </c>
    </row>
    <row r="134" spans="3:11" s="13" customFormat="1" ht="15" customHeight="1" x14ac:dyDescent="0.25">
      <c r="C134" s="13" t="s">
        <v>177</v>
      </c>
      <c r="D134" s="203"/>
      <c r="E134" s="203"/>
      <c r="F134" s="203"/>
      <c r="G134" s="203">
        <f ca="1">G123+G133</f>
        <v>4178831359.836689</v>
      </c>
      <c r="H134" s="203">
        <f t="shared" ref="H134:K134" ca="1" si="102">H123+H133</f>
        <v>4944303413.2336264</v>
      </c>
      <c r="I134" s="203">
        <f t="shared" ca="1" si="102"/>
        <v>5654885754.5359373</v>
      </c>
      <c r="J134" s="203">
        <f t="shared" ca="1" si="102"/>
        <v>6284100539.821166</v>
      </c>
      <c r="K134" s="203">
        <f t="shared" ca="1" si="102"/>
        <v>6891199119.1816845</v>
      </c>
    </row>
    <row r="135" spans="3:11" ht="15" customHeight="1" x14ac:dyDescent="0.25">
      <c r="D135" s="205"/>
      <c r="E135" s="206"/>
      <c r="F135" s="206"/>
      <c r="G135" s="206"/>
      <c r="H135" s="206"/>
      <c r="I135" s="206"/>
      <c r="J135" s="206"/>
      <c r="K135" s="206"/>
    </row>
    <row r="136" spans="3:11" customFormat="1" x14ac:dyDescent="0.25">
      <c r="C136" s="226" t="s">
        <v>20</v>
      </c>
      <c r="D136" s="258"/>
      <c r="E136" s="227"/>
      <c r="F136" s="227"/>
      <c r="G136" s="227"/>
      <c r="H136" s="227"/>
      <c r="I136" s="227"/>
      <c r="J136" s="227"/>
      <c r="K136" s="227"/>
    </row>
    <row r="137" spans="3:11" ht="15" customHeight="1" x14ac:dyDescent="0.25">
      <c r="D137" s="205"/>
      <c r="E137" s="206"/>
      <c r="F137" s="206"/>
      <c r="G137" s="206"/>
      <c r="H137" s="206"/>
      <c r="I137" s="206"/>
      <c r="J137" s="206"/>
      <c r="K137" s="206"/>
    </row>
    <row r="138" spans="3:11" ht="15" customHeight="1" x14ac:dyDescent="0.25">
      <c r="C138" s="17" t="s">
        <v>213</v>
      </c>
      <c r="D138" s="205"/>
      <c r="E138" s="204"/>
      <c r="F138" s="204"/>
      <c r="G138" s="204">
        <f>-G161</f>
        <v>-1426958478.0161998</v>
      </c>
      <c r="H138" s="204">
        <f t="shared" ref="H138:K138" si="103">-H161</f>
        <v>-1669417871.0790586</v>
      </c>
      <c r="I138" s="204">
        <f t="shared" si="103"/>
        <v>-1888436135.1271651</v>
      </c>
      <c r="J138" s="204">
        <f t="shared" si="103"/>
        <v>-2078097767.8291187</v>
      </c>
      <c r="K138" s="204">
        <f t="shared" si="103"/>
        <v>-2261606855.9212279</v>
      </c>
    </row>
    <row r="139" spans="3:11" ht="15" customHeight="1" x14ac:dyDescent="0.25">
      <c r="C139" s="17" t="s">
        <v>214</v>
      </c>
      <c r="D139" s="205"/>
      <c r="E139" s="204"/>
      <c r="F139" s="204"/>
      <c r="G139" s="204">
        <f>-G269</f>
        <v>-73968287.42717202</v>
      </c>
      <c r="H139" s="204">
        <f t="shared" ref="H139:K139" si="104">-H269</f>
        <v>-86536492.004802063</v>
      </c>
      <c r="I139" s="204">
        <f t="shared" si="104"/>
        <v>-97889594.534759969</v>
      </c>
      <c r="J139" s="204">
        <f t="shared" si="104"/>
        <v>-107720957.09907809</v>
      </c>
      <c r="K139" s="204">
        <f t="shared" si="104"/>
        <v>-117233394.34418008</v>
      </c>
    </row>
    <row r="140" spans="3:11" ht="15" customHeight="1" x14ac:dyDescent="0.25">
      <c r="C140" s="13" t="s">
        <v>176</v>
      </c>
      <c r="D140" s="205"/>
      <c r="E140" s="207"/>
      <c r="F140" s="207"/>
      <c r="G140" s="207">
        <f>SUM(G138:G139)</f>
        <v>-1500926765.4433718</v>
      </c>
      <c r="H140" s="207">
        <f t="shared" ref="H140:K140" si="105">SUM(H138:H139)</f>
        <v>-1755954363.0838606</v>
      </c>
      <c r="I140" s="207">
        <f t="shared" si="105"/>
        <v>-1986325729.6619251</v>
      </c>
      <c r="J140" s="207">
        <f t="shared" si="105"/>
        <v>-2185818724.9281969</v>
      </c>
      <c r="K140" s="207">
        <f t="shared" si="105"/>
        <v>-2378840250.265408</v>
      </c>
    </row>
    <row r="141" spans="3:11" ht="15" customHeight="1" x14ac:dyDescent="0.25">
      <c r="D141" s="205"/>
      <c r="E141" s="209"/>
      <c r="F141" s="209"/>
      <c r="G141" s="206"/>
      <c r="H141" s="206"/>
      <c r="I141" s="206"/>
      <c r="J141" s="206"/>
      <c r="K141" s="206"/>
    </row>
    <row r="142" spans="3:11" s="35" customFormat="1" ht="15" customHeight="1" x14ac:dyDescent="0.25">
      <c r="C142" s="45" t="s">
        <v>21</v>
      </c>
      <c r="D142" s="259"/>
      <c r="E142" s="210"/>
      <c r="F142" s="210"/>
      <c r="G142" s="210"/>
      <c r="H142" s="210"/>
      <c r="I142" s="210"/>
      <c r="J142" s="210"/>
      <c r="K142" s="210"/>
    </row>
    <row r="143" spans="3:11" ht="15" customHeight="1" x14ac:dyDescent="0.25">
      <c r="D143" s="205"/>
      <c r="E143" s="209"/>
      <c r="F143" s="209"/>
      <c r="G143" s="206"/>
      <c r="H143" s="206"/>
      <c r="I143" s="206"/>
      <c r="J143" s="206"/>
      <c r="K143" s="206"/>
    </row>
    <row r="144" spans="3:11" ht="15" customHeight="1" x14ac:dyDescent="0.25">
      <c r="C144" s="17" t="s">
        <v>215</v>
      </c>
      <c r="D144" s="205"/>
      <c r="E144" s="204"/>
      <c r="F144" s="204"/>
      <c r="G144" s="204">
        <f>G88-F88</f>
        <v>0</v>
      </c>
      <c r="H144" s="204">
        <f t="shared" ref="H144:K144" si="106">H88-G88</f>
        <v>0</v>
      </c>
      <c r="I144" s="204">
        <f t="shared" si="106"/>
        <v>0</v>
      </c>
      <c r="J144" s="204">
        <f t="shared" si="106"/>
        <v>0</v>
      </c>
      <c r="K144" s="204">
        <f t="shared" si="106"/>
        <v>0</v>
      </c>
    </row>
    <row r="145" spans="3:11" ht="15" customHeight="1" x14ac:dyDescent="0.25">
      <c r="C145" s="17" t="s">
        <v>216</v>
      </c>
      <c r="D145" s="205"/>
      <c r="E145" s="204"/>
      <c r="F145" s="204"/>
      <c r="G145" s="204">
        <f>(G84+G92)-(F84+F92)-G281</f>
        <v>-13873491.871614516</v>
      </c>
      <c r="H145" s="204">
        <f t="shared" ref="H145:K145" si="107">(H84+H92)-(G84+G92)-H281</f>
        <v>-16230784.302106619</v>
      </c>
      <c r="I145" s="204">
        <f t="shared" si="107"/>
        <v>-18360172.194479555</v>
      </c>
      <c r="J145" s="204">
        <f t="shared" si="107"/>
        <v>-20204142.541329086</v>
      </c>
      <c r="K145" s="204">
        <f t="shared" si="107"/>
        <v>-21988295.255816579</v>
      </c>
    </row>
    <row r="146" spans="3:11" ht="15" customHeight="1" x14ac:dyDescent="0.25">
      <c r="C146" s="17" t="s">
        <v>217</v>
      </c>
      <c r="D146" s="205"/>
      <c r="E146" s="204"/>
      <c r="F146" s="204"/>
      <c r="G146" s="204">
        <f ca="1">-G251</f>
        <v>-2358282043.3489537</v>
      </c>
      <c r="H146" s="204">
        <f t="shared" ref="H146:K146" ca="1" si="108">-H251</f>
        <v>-2739971520.6707058</v>
      </c>
      <c r="I146" s="204">
        <f t="shared" ca="1" si="108"/>
        <v>-3119285803.0101628</v>
      </c>
      <c r="J146" s="204">
        <f t="shared" ca="1" si="108"/>
        <v>-3458204975.9614592</v>
      </c>
      <c r="K146" s="204">
        <f t="shared" ca="1" si="108"/>
        <v>-3791894411.1102157</v>
      </c>
    </row>
    <row r="147" spans="3:11" ht="15" customHeight="1" x14ac:dyDescent="0.25">
      <c r="C147" s="17" t="s">
        <v>299</v>
      </c>
      <c r="D147" s="205"/>
      <c r="E147" s="204"/>
      <c r="F147" s="204"/>
      <c r="G147" s="204">
        <f ca="1">-G258</f>
        <v>-23821030.74089852</v>
      </c>
      <c r="H147" s="204">
        <f t="shared" ref="H147:K147" ca="1" si="109">-H258</f>
        <v>-27676480.006774809</v>
      </c>
      <c r="I147" s="204">
        <f t="shared" ca="1" si="109"/>
        <v>-31507937.404143058</v>
      </c>
      <c r="J147" s="204">
        <f t="shared" ca="1" si="109"/>
        <v>-34931363.393550098</v>
      </c>
      <c r="K147" s="204">
        <f t="shared" ca="1" si="109"/>
        <v>-38301963.74858804</v>
      </c>
    </row>
    <row r="148" spans="3:11" ht="15" customHeight="1" x14ac:dyDescent="0.25">
      <c r="C148" s="13" t="s">
        <v>175</v>
      </c>
      <c r="D148" s="203"/>
      <c r="E148" s="207"/>
      <c r="F148" s="207"/>
      <c r="G148" s="207">
        <f ca="1">SUM(G144:G147)</f>
        <v>-2395976565.9614668</v>
      </c>
      <c r="H148" s="207">
        <f t="shared" ref="H148:K148" ca="1" si="110">SUM(H144:H147)</f>
        <v>-2783878784.9795876</v>
      </c>
      <c r="I148" s="207">
        <f t="shared" ca="1" si="110"/>
        <v>-3169153912.6087852</v>
      </c>
      <c r="J148" s="207">
        <f t="shared" ca="1" si="110"/>
        <v>-3513340481.896338</v>
      </c>
      <c r="K148" s="207">
        <f t="shared" ca="1" si="110"/>
        <v>-3852184670.1146202</v>
      </c>
    </row>
    <row r="149" spans="3:11" ht="15" customHeight="1" x14ac:dyDescent="0.25">
      <c r="C149" s="13"/>
      <c r="D149" s="203"/>
      <c r="E149" s="207"/>
      <c r="F149" s="207"/>
      <c r="G149" s="207"/>
      <c r="H149" s="207"/>
      <c r="I149" s="207"/>
      <c r="J149" s="207"/>
      <c r="K149" s="207"/>
    </row>
    <row r="150" spans="3:11" ht="15" customHeight="1" x14ac:dyDescent="0.25">
      <c r="C150" s="13" t="s">
        <v>154</v>
      </c>
      <c r="D150" s="203"/>
      <c r="E150" s="207"/>
      <c r="F150" s="207"/>
      <c r="G150" s="207">
        <f ca="1">G134+G140+G148</f>
        <v>281928028.43185043</v>
      </c>
      <c r="H150" s="207">
        <f t="shared" ref="H150:K150" ca="1" si="111">H134+H140+H148</f>
        <v>404470265.17017841</v>
      </c>
      <c r="I150" s="207">
        <f t="shared" ca="1" si="111"/>
        <v>499406112.26522684</v>
      </c>
      <c r="J150" s="207">
        <f t="shared" ca="1" si="111"/>
        <v>584941332.99663115</v>
      </c>
      <c r="K150" s="207">
        <f t="shared" ca="1" si="111"/>
        <v>660174198.80165672</v>
      </c>
    </row>
    <row r="151" spans="3:11" ht="15" customHeight="1" x14ac:dyDescent="0.25">
      <c r="C151" s="6" t="s">
        <v>155</v>
      </c>
      <c r="D151" s="203"/>
      <c r="E151" s="207"/>
      <c r="F151" s="207"/>
      <c r="G151" s="207">
        <f>F61</f>
        <v>716765194</v>
      </c>
      <c r="H151" s="207">
        <f t="shared" ref="H151:K151" ca="1" si="112">G61</f>
        <v>998693222.43185043</v>
      </c>
      <c r="I151" s="207">
        <f t="shared" ca="1" si="112"/>
        <v>1403163487.6020288</v>
      </c>
      <c r="J151" s="207">
        <f t="shared" ca="1" si="112"/>
        <v>1902569599.8672557</v>
      </c>
      <c r="K151" s="207">
        <f t="shared" ca="1" si="112"/>
        <v>2487510932.8638868</v>
      </c>
    </row>
    <row r="152" spans="3:11" ht="15" customHeight="1" x14ac:dyDescent="0.25">
      <c r="C152" s="13" t="s">
        <v>156</v>
      </c>
      <c r="D152" s="205"/>
      <c r="E152" s="207"/>
      <c r="F152" s="207"/>
      <c r="G152" s="207">
        <f ca="1">G150+G151</f>
        <v>998693222.43185043</v>
      </c>
      <c r="H152" s="207">
        <f t="shared" ref="H152:K152" ca="1" si="113">H150+H151</f>
        <v>1403163487.6020288</v>
      </c>
      <c r="I152" s="207">
        <f t="shared" ca="1" si="113"/>
        <v>1902569599.8672557</v>
      </c>
      <c r="J152" s="207">
        <f t="shared" ca="1" si="113"/>
        <v>2487510932.8638868</v>
      </c>
      <c r="K152" s="207">
        <f t="shared" ca="1" si="113"/>
        <v>3147685131.6655436</v>
      </c>
    </row>
    <row r="153" spans="3:11" ht="15" customHeight="1" x14ac:dyDescent="0.25">
      <c r="C153" s="13"/>
      <c r="D153" s="205"/>
      <c r="E153" s="208"/>
      <c r="F153" s="207"/>
      <c r="G153" s="208"/>
      <c r="H153" s="208"/>
      <c r="I153" s="208"/>
      <c r="J153" s="208"/>
      <c r="K153" s="208"/>
    </row>
    <row r="154" spans="3:11" ht="15" customHeight="1" x14ac:dyDescent="0.25">
      <c r="C154" s="13" t="s">
        <v>22</v>
      </c>
      <c r="D154" s="240"/>
      <c r="E154" s="240"/>
      <c r="F154" s="204"/>
      <c r="G154" s="204"/>
      <c r="H154" s="204"/>
      <c r="I154" s="204"/>
      <c r="J154" s="204"/>
      <c r="K154" s="204"/>
    </row>
    <row r="155" spans="3:11" ht="15" customHeight="1" x14ac:dyDescent="0.25"/>
    <row r="156" spans="3:11" customFormat="1" x14ac:dyDescent="0.25">
      <c r="C156" s="39" t="s">
        <v>31</v>
      </c>
      <c r="D156" s="253"/>
      <c r="E156" s="40"/>
      <c r="F156" s="40"/>
      <c r="G156" s="40"/>
      <c r="H156" s="40"/>
      <c r="I156" s="40"/>
      <c r="J156" s="40"/>
      <c r="K156" s="40"/>
    </row>
    <row r="157" spans="3:11" customFormat="1" x14ac:dyDescent="0.25">
      <c r="C157" t="s">
        <v>42</v>
      </c>
      <c r="D157" s="41">
        <f t="shared" ref="D157:K157" si="114">D$13</f>
        <v>2023</v>
      </c>
      <c r="E157" s="41">
        <f t="shared" si="114"/>
        <v>2024</v>
      </c>
      <c r="F157" s="41">
        <f t="shared" si="114"/>
        <v>2025</v>
      </c>
      <c r="G157" s="42">
        <f t="shared" si="114"/>
        <v>2026</v>
      </c>
      <c r="H157" s="42">
        <f t="shared" si="114"/>
        <v>2027</v>
      </c>
      <c r="I157" s="42">
        <f t="shared" si="114"/>
        <v>2028</v>
      </c>
      <c r="J157" s="42">
        <f t="shared" si="114"/>
        <v>2029</v>
      </c>
      <c r="K157" s="42">
        <f t="shared" si="114"/>
        <v>2030</v>
      </c>
    </row>
    <row r="158" spans="3:11" customFormat="1" x14ac:dyDescent="0.25">
      <c r="C158" s="43" t="s">
        <v>43</v>
      </c>
      <c r="D158" s="254">
        <f t="shared" ref="D158:K158" si="115">D$14</f>
        <v>45291</v>
      </c>
      <c r="E158" s="235">
        <f t="shared" si="115"/>
        <v>45657</v>
      </c>
      <c r="F158" s="235">
        <f t="shared" si="115"/>
        <v>46022</v>
      </c>
      <c r="G158" s="235">
        <f t="shared" si="115"/>
        <v>46387</v>
      </c>
      <c r="H158" s="235">
        <f t="shared" si="115"/>
        <v>46752</v>
      </c>
      <c r="I158" s="235">
        <f t="shared" si="115"/>
        <v>47118</v>
      </c>
      <c r="J158" s="235">
        <f t="shared" si="115"/>
        <v>47483</v>
      </c>
      <c r="K158" s="235">
        <f t="shared" si="115"/>
        <v>47848</v>
      </c>
    </row>
    <row r="159" spans="3:11" ht="15" customHeight="1" x14ac:dyDescent="0.25"/>
    <row r="160" spans="3:11" ht="15" customHeight="1" x14ac:dyDescent="0.25">
      <c r="C160" s="17" t="s">
        <v>32</v>
      </c>
      <c r="D160" s="189"/>
      <c r="E160" s="190">
        <f>D163</f>
        <v>3371603358</v>
      </c>
      <c r="F160" s="190">
        <f t="shared" ref="F160:G160" si="116">E163</f>
        <v>4491126453</v>
      </c>
      <c r="G160" s="190">
        <f t="shared" si="116"/>
        <v>5473026194</v>
      </c>
      <c r="H160" s="190">
        <f t="shared" ref="H160:K160" si="117">G163</f>
        <v>6383947412.3159304</v>
      </c>
      <c r="I160" s="190">
        <f t="shared" si="117"/>
        <v>7449646368.8236599</v>
      </c>
      <c r="J160" s="190">
        <f t="shared" si="117"/>
        <v>8655159052.9161644</v>
      </c>
      <c r="K160" s="190">
        <f t="shared" si="117"/>
        <v>9981745200.736105</v>
      </c>
    </row>
    <row r="161" spans="1:11" ht="15" customHeight="1" x14ac:dyDescent="0.25">
      <c r="C161" s="29" t="s">
        <v>33</v>
      </c>
      <c r="D161" s="202">
        <v>572147343</v>
      </c>
      <c r="E161" s="202">
        <v>1201197616</v>
      </c>
      <c r="F161" s="202">
        <v>1020200150</v>
      </c>
      <c r="G161" s="188">
        <f>G165*G16</f>
        <v>1426958478.0161998</v>
      </c>
      <c r="H161" s="188">
        <f>H165*H16</f>
        <v>1669417871.0790586</v>
      </c>
      <c r="I161" s="188">
        <f>I165*I16</f>
        <v>1888436135.1271651</v>
      </c>
      <c r="J161" s="188">
        <f>J165*J16</f>
        <v>2078097767.8291187</v>
      </c>
      <c r="K161" s="188">
        <f>K165*K16</f>
        <v>2261606855.9212279</v>
      </c>
    </row>
    <row r="162" spans="1:11" ht="15" customHeight="1" x14ac:dyDescent="0.25">
      <c r="C162" s="29" t="s">
        <v>34</v>
      </c>
      <c r="D162" s="202">
        <v>255757872</v>
      </c>
      <c r="E162" s="202">
        <v>339398313</v>
      </c>
      <c r="F162" s="202">
        <v>429500144</v>
      </c>
      <c r="G162" s="188">
        <f>G166*G16</f>
        <v>516037259.70026988</v>
      </c>
      <c r="H162" s="188">
        <f>H166*H16</f>
        <v>603718914.571329</v>
      </c>
      <c r="I162" s="188">
        <f>I166*I16</f>
        <v>682923451.03466105</v>
      </c>
      <c r="J162" s="188">
        <f>J166*J16</f>
        <v>751511620.0091784</v>
      </c>
      <c r="K162" s="188">
        <f>K166*K16</f>
        <v>817874817.26268137</v>
      </c>
    </row>
    <row r="163" spans="1:11" ht="15" customHeight="1" x14ac:dyDescent="0.25">
      <c r="C163" s="16" t="s">
        <v>35</v>
      </c>
      <c r="D163" s="237">
        <f>D66</f>
        <v>3371603358</v>
      </c>
      <c r="E163" s="237">
        <f>E66</f>
        <v>4491126453</v>
      </c>
      <c r="F163" s="237">
        <f>F66</f>
        <v>5473026194</v>
      </c>
      <c r="G163" s="237">
        <f>G160+G161-G162</f>
        <v>6383947412.3159304</v>
      </c>
      <c r="H163" s="237">
        <f t="shared" ref="H163:K163" si="118">H160+H161-H162</f>
        <v>7449646368.8236599</v>
      </c>
      <c r="I163" s="237">
        <f t="shared" si="118"/>
        <v>8655159052.9161644</v>
      </c>
      <c r="J163" s="237">
        <f t="shared" si="118"/>
        <v>9981745200.736105</v>
      </c>
      <c r="K163" s="237">
        <f t="shared" si="118"/>
        <v>11425477239.394651</v>
      </c>
    </row>
    <row r="164" spans="1:11" ht="15" customHeight="1" x14ac:dyDescent="0.25">
      <c r="C164" s="13"/>
      <c r="D164" s="10"/>
      <c r="E164" s="161"/>
      <c r="F164" s="161"/>
      <c r="G164" s="162"/>
      <c r="H164" s="162"/>
      <c r="I164" s="162"/>
      <c r="J164" s="162"/>
      <c r="K164" s="162"/>
    </row>
    <row r="165" spans="1:11" ht="15" customHeight="1" x14ac:dyDescent="0.25">
      <c r="C165" s="6" t="s">
        <v>148</v>
      </c>
      <c r="D165" s="22">
        <f>D161/D16</f>
        <v>4.7183529802090306E-2</v>
      </c>
      <c r="E165" s="22">
        <f>E161/E16</f>
        <v>7.4393473278584504E-2</v>
      </c>
      <c r="F165" s="22">
        <f>F161/F16</f>
        <v>4.8778226961294038E-2</v>
      </c>
      <c r="G165" s="215">
        <f>AVERAGE(D165:F165)</f>
        <v>5.6785076680656278E-2</v>
      </c>
      <c r="H165" s="215">
        <f t="shared" ref="H165:K166" si="119">G165</f>
        <v>5.6785076680656278E-2</v>
      </c>
      <c r="I165" s="215">
        <f t="shared" si="119"/>
        <v>5.6785076680656278E-2</v>
      </c>
      <c r="J165" s="215">
        <f t="shared" si="119"/>
        <v>5.6785076680656278E-2</v>
      </c>
      <c r="K165" s="215">
        <f t="shared" si="119"/>
        <v>5.6785076680656278E-2</v>
      </c>
    </row>
    <row r="166" spans="1:11" ht="15" customHeight="1" x14ac:dyDescent="0.25">
      <c r="C166" s="6" t="s">
        <v>178</v>
      </c>
      <c r="D166" s="22">
        <f>D162/D16</f>
        <v>2.1091698359300425E-2</v>
      </c>
      <c r="E166" s="22">
        <f>E162/E16</f>
        <v>2.1019871328950557E-2</v>
      </c>
      <c r="F166" s="22">
        <f>F162/F16</f>
        <v>2.0535436604219741E-2</v>
      </c>
      <c r="G166" s="215">
        <f>F166</f>
        <v>2.0535436604219741E-2</v>
      </c>
      <c r="H166" s="215">
        <f t="shared" si="119"/>
        <v>2.0535436604219741E-2</v>
      </c>
      <c r="I166" s="215">
        <f t="shared" si="119"/>
        <v>2.0535436604219741E-2</v>
      </c>
      <c r="J166" s="215">
        <f t="shared" si="119"/>
        <v>2.0535436604219741E-2</v>
      </c>
      <c r="K166" s="215">
        <f t="shared" si="119"/>
        <v>2.0535436604219741E-2</v>
      </c>
    </row>
    <row r="167" spans="1:11" ht="15" customHeight="1" x14ac:dyDescent="0.25">
      <c r="E167" s="1"/>
      <c r="F167" s="1"/>
      <c r="G167" s="1"/>
      <c r="H167" s="1"/>
      <c r="I167" s="1"/>
      <c r="J167" s="1"/>
      <c r="K167" s="1"/>
    </row>
    <row r="168" spans="1:11" s="35" customFormat="1" ht="15" customHeight="1" x14ac:dyDescent="0.25">
      <c r="C168" s="45" t="s">
        <v>36</v>
      </c>
      <c r="D168" s="47"/>
      <c r="E168" s="47"/>
      <c r="F168" s="47"/>
      <c r="G168" s="47"/>
      <c r="H168" s="47"/>
      <c r="I168" s="47"/>
      <c r="J168" s="47"/>
      <c r="K168" s="47"/>
    </row>
    <row r="169" spans="1:11" s="31" customFormat="1" ht="15" customHeight="1" x14ac:dyDescent="0.25">
      <c r="C169" s="32"/>
      <c r="D169" s="33"/>
      <c r="E169" s="34"/>
      <c r="F169" s="34"/>
      <c r="G169" s="34"/>
      <c r="H169" s="34"/>
      <c r="I169" s="34"/>
      <c r="J169" s="34"/>
      <c r="K169" s="34"/>
    </row>
    <row r="170" spans="1:11" s="31" customFormat="1" ht="15" customHeight="1" x14ac:dyDescent="0.25">
      <c r="C170" s="35" t="s">
        <v>37</v>
      </c>
      <c r="D170" s="10">
        <f>21094430+7553869</f>
        <v>28648299</v>
      </c>
      <c r="E170" s="10">
        <f>23078685+11060520</f>
        <v>34139205</v>
      </c>
      <c r="F170" s="10">
        <f>35806909+12669115</f>
        <v>48476024</v>
      </c>
      <c r="G170" s="36">
        <f>G270+G282</f>
        <v>58243134.340193644</v>
      </c>
      <c r="H170" s="36">
        <f t="shared" ref="H170:K170" si="120">H270+H282</f>
        <v>68139424.400317997</v>
      </c>
      <c r="I170" s="36">
        <f t="shared" si="120"/>
        <v>77078934.81525597</v>
      </c>
      <c r="J170" s="36">
        <f t="shared" si="120"/>
        <v>84820216.795652151</v>
      </c>
      <c r="K170" s="36">
        <f t="shared" si="120"/>
        <v>92310374.803090543</v>
      </c>
    </row>
    <row r="171" spans="1:11" s="31" customFormat="1" ht="15" customHeight="1" x14ac:dyDescent="0.25">
      <c r="A171" s="32"/>
      <c r="B171" s="32"/>
      <c r="C171" s="24" t="s">
        <v>38</v>
      </c>
      <c r="D171" s="37">
        <f t="shared" ref="D171:K171" si="121">D170/D16</f>
        <v>2.3625520352118352E-3</v>
      </c>
      <c r="E171" s="37">
        <f t="shared" si="121"/>
        <v>2.1143348946836556E-3</v>
      </c>
      <c r="F171" s="37">
        <f t="shared" si="121"/>
        <v>2.3177554922464349E-3</v>
      </c>
      <c r="G171" s="248">
        <f t="shared" si="121"/>
        <v>2.3177554922464349E-3</v>
      </c>
      <c r="H171" s="248">
        <f t="shared" si="121"/>
        <v>2.3177554922464349E-3</v>
      </c>
      <c r="I171" s="248">
        <f t="shared" si="121"/>
        <v>2.3177554922464349E-3</v>
      </c>
      <c r="J171" s="248">
        <f t="shared" si="121"/>
        <v>2.3177554922464349E-3</v>
      </c>
      <c r="K171" s="248">
        <f t="shared" si="121"/>
        <v>2.3177554922464349E-3</v>
      </c>
    </row>
    <row r="172" spans="1:11" ht="15" customHeight="1" x14ac:dyDescent="0.25">
      <c r="C172" s="38" t="s">
        <v>39</v>
      </c>
      <c r="D172" s="30">
        <f>D162+D170</f>
        <v>284406171</v>
      </c>
      <c r="E172" s="30">
        <f t="shared" ref="E172:K172" si="122">E162+E170</f>
        <v>373537518</v>
      </c>
      <c r="F172" s="30">
        <f t="shared" si="122"/>
        <v>477976168</v>
      </c>
      <c r="G172" s="30">
        <f t="shared" si="122"/>
        <v>574280394.04046357</v>
      </c>
      <c r="H172" s="30">
        <f t="shared" si="122"/>
        <v>671858338.97164702</v>
      </c>
      <c r="I172" s="30">
        <f t="shared" si="122"/>
        <v>760002385.84991705</v>
      </c>
      <c r="J172" s="30">
        <f t="shared" si="122"/>
        <v>836331836.80483055</v>
      </c>
      <c r="K172" s="30">
        <f t="shared" si="122"/>
        <v>910185192.06577194</v>
      </c>
    </row>
    <row r="174" spans="1:11" x14ac:dyDescent="0.25">
      <c r="C174" s="13" t="s">
        <v>228</v>
      </c>
      <c r="D174" s="267"/>
      <c r="E174" s="13"/>
      <c r="F174" s="13"/>
      <c r="G174" s="13"/>
      <c r="H174" s="13"/>
      <c r="I174" s="13"/>
      <c r="J174" s="13"/>
      <c r="K174" s="13"/>
    </row>
    <row r="175" spans="1:11" x14ac:dyDescent="0.25">
      <c r="C175" s="48" t="s">
        <v>42</v>
      </c>
      <c r="D175" s="49">
        <f t="shared" ref="D175:K175" si="123">D$13</f>
        <v>2023</v>
      </c>
      <c r="E175" s="49">
        <f t="shared" si="123"/>
        <v>2024</v>
      </c>
      <c r="F175" s="49">
        <f t="shared" si="123"/>
        <v>2025</v>
      </c>
      <c r="G175" s="50">
        <f t="shared" si="123"/>
        <v>2026</v>
      </c>
      <c r="H175" s="50">
        <f t="shared" si="123"/>
        <v>2027</v>
      </c>
      <c r="I175" s="50">
        <f t="shared" si="123"/>
        <v>2028</v>
      </c>
      <c r="J175" s="50">
        <f t="shared" si="123"/>
        <v>2029</v>
      </c>
      <c r="K175" s="50">
        <f t="shared" si="123"/>
        <v>2030</v>
      </c>
    </row>
    <row r="176" spans="1:11" x14ac:dyDescent="0.25">
      <c r="C176" s="43" t="s">
        <v>43</v>
      </c>
      <c r="D176" s="44">
        <f t="shared" ref="D176:K176" si="124">D$14</f>
        <v>45291</v>
      </c>
      <c r="E176" s="44">
        <f t="shared" si="124"/>
        <v>45657</v>
      </c>
      <c r="F176" s="44">
        <f t="shared" si="124"/>
        <v>46022</v>
      </c>
      <c r="G176" s="44">
        <f t="shared" si="124"/>
        <v>46387</v>
      </c>
      <c r="H176" s="44">
        <f t="shared" si="124"/>
        <v>46752</v>
      </c>
      <c r="I176" s="44">
        <f t="shared" si="124"/>
        <v>47118</v>
      </c>
      <c r="J176" s="44">
        <f t="shared" si="124"/>
        <v>47483</v>
      </c>
      <c r="K176" s="44">
        <f t="shared" si="124"/>
        <v>47848</v>
      </c>
    </row>
    <row r="177" spans="3:11" x14ac:dyDescent="0.25">
      <c r="C177" s="35"/>
      <c r="D177" s="268"/>
      <c r="E177" s="35"/>
      <c r="F177" s="200"/>
      <c r="G177" s="273"/>
      <c r="H177" s="35"/>
    </row>
    <row r="178" spans="3:11" x14ac:dyDescent="0.25">
      <c r="C178" s="231" t="s">
        <v>267</v>
      </c>
      <c r="D178" s="272">
        <v>6032.5</v>
      </c>
      <c r="E178" s="272">
        <v>8272.2000000000007</v>
      </c>
      <c r="F178" s="272">
        <v>10855.6</v>
      </c>
      <c r="G178" s="204">
        <f>F178*(1+G190)</f>
        <v>13113.5648</v>
      </c>
      <c r="H178" s="204">
        <f t="shared" ref="H178:K178" si="125">G178*(1+H190)</f>
        <v>15421.552204799998</v>
      </c>
      <c r="I178" s="204">
        <f t="shared" si="125"/>
        <v>17488.040200243198</v>
      </c>
      <c r="J178" s="204">
        <f t="shared" si="125"/>
        <v>19271.820300668005</v>
      </c>
      <c r="K178" s="204">
        <f t="shared" si="125"/>
        <v>21044.827768329462</v>
      </c>
    </row>
    <row r="179" spans="3:11" x14ac:dyDescent="0.25">
      <c r="C179" s="231" t="s">
        <v>225</v>
      </c>
      <c r="D179" s="272">
        <v>4066.6</v>
      </c>
      <c r="E179" s="272">
        <v>4657.3999999999996</v>
      </c>
      <c r="F179" s="272">
        <v>5885.4</v>
      </c>
      <c r="G179" s="204">
        <f t="shared" ref="G179:K185" si="126">F179*(1+G191)</f>
        <v>7174.3026</v>
      </c>
      <c r="H179" s="204">
        <f t="shared" si="126"/>
        <v>8480.0256731999998</v>
      </c>
      <c r="I179" s="204">
        <f t="shared" si="126"/>
        <v>9658.7492417747999</v>
      </c>
      <c r="J179" s="204">
        <f t="shared" si="126"/>
        <v>10692.235410644704</v>
      </c>
      <c r="K179" s="204">
        <f t="shared" si="126"/>
        <v>11675.921068424017</v>
      </c>
    </row>
    <row r="180" spans="3:11" x14ac:dyDescent="0.25">
      <c r="C180" s="231" t="s">
        <v>268</v>
      </c>
      <c r="D180" s="272">
        <v>1079</v>
      </c>
      <c r="E180" s="272">
        <v>726.8</v>
      </c>
      <c r="F180" s="272">
        <v>1084.7</v>
      </c>
      <c r="G180" s="204">
        <f t="shared" si="126"/>
        <v>1238.7274</v>
      </c>
      <c r="H180" s="204">
        <f t="shared" si="126"/>
        <v>1389.8521427999999</v>
      </c>
      <c r="I180" s="204">
        <f t="shared" si="126"/>
        <v>1523.2779485087999</v>
      </c>
      <c r="J180" s="204">
        <f t="shared" si="126"/>
        <v>1639.0470725954688</v>
      </c>
      <c r="K180" s="204">
        <f t="shared" si="126"/>
        <v>1739.0289440237923</v>
      </c>
    </row>
    <row r="181" spans="3:11" x14ac:dyDescent="0.25">
      <c r="C181" s="231" t="s">
        <v>269</v>
      </c>
      <c r="D181" s="272">
        <v>545</v>
      </c>
      <c r="E181" s="272">
        <v>1734.8</v>
      </c>
      <c r="F181" s="272">
        <v>2018.6</v>
      </c>
      <c r="G181" s="204">
        <f t="shared" si="126"/>
        <v>2329.4643999999998</v>
      </c>
      <c r="H181" s="204">
        <f t="shared" si="126"/>
        <v>2627.6358432000002</v>
      </c>
      <c r="I181" s="204">
        <f t="shared" si="126"/>
        <v>2895.6546992064004</v>
      </c>
      <c r="J181" s="204">
        <f t="shared" si="126"/>
        <v>3115.7244563460872</v>
      </c>
      <c r="K181" s="204">
        <f t="shared" si="126"/>
        <v>3305.7836481831982</v>
      </c>
    </row>
    <row r="182" spans="3:11" x14ac:dyDescent="0.25">
      <c r="C182" s="231" t="s">
        <v>270</v>
      </c>
      <c r="D182" s="272">
        <v>307.7</v>
      </c>
      <c r="E182" s="272">
        <v>484.8</v>
      </c>
      <c r="F182" s="272">
        <v>558</v>
      </c>
      <c r="G182" s="204">
        <f t="shared" si="126"/>
        <v>662.904</v>
      </c>
      <c r="H182" s="204">
        <f t="shared" si="126"/>
        <v>772.94606399999998</v>
      </c>
      <c r="I182" s="204">
        <f t="shared" si="126"/>
        <v>885.02324327999997</v>
      </c>
      <c r="J182" s="204">
        <f t="shared" si="126"/>
        <v>985.03086977063992</v>
      </c>
      <c r="K182" s="204">
        <f t="shared" si="126"/>
        <v>1086.4890493570158</v>
      </c>
    </row>
    <row r="183" spans="3:11" x14ac:dyDescent="0.25">
      <c r="C183" s="231" t="s">
        <v>271</v>
      </c>
      <c r="D183" s="272">
        <v>80.099999999999994</v>
      </c>
      <c r="E183" s="272">
        <v>195.9</v>
      </c>
      <c r="F183" s="272">
        <v>343.5</v>
      </c>
      <c r="G183" s="204">
        <f t="shared" si="126"/>
        <v>434.52750000000003</v>
      </c>
      <c r="H183" s="204">
        <f t="shared" si="126"/>
        <v>525.77827500000001</v>
      </c>
      <c r="I183" s="204">
        <f t="shared" si="126"/>
        <v>618.84102967500007</v>
      </c>
      <c r="J183" s="204">
        <f t="shared" si="126"/>
        <v>701.76572765144999</v>
      </c>
      <c r="K183" s="204">
        <f t="shared" si="126"/>
        <v>781.06525487606382</v>
      </c>
    </row>
    <row r="184" spans="3:11" x14ac:dyDescent="0.25">
      <c r="C184" s="231" t="s">
        <v>272</v>
      </c>
      <c r="D184" s="272">
        <v>14.9</v>
      </c>
      <c r="E184" s="272">
        <v>72.3</v>
      </c>
      <c r="F184" s="272">
        <v>62.2</v>
      </c>
      <c r="G184" s="204">
        <f t="shared" si="126"/>
        <v>68.42</v>
      </c>
      <c r="H184" s="204">
        <f t="shared" si="126"/>
        <v>73.893600000000006</v>
      </c>
      <c r="I184" s="204">
        <f t="shared" si="126"/>
        <v>79.066152000000017</v>
      </c>
      <c r="J184" s="204">
        <f t="shared" si="126"/>
        <v>83.019459600000019</v>
      </c>
      <c r="K184" s="204">
        <f t="shared" si="126"/>
        <v>87.170432580000025</v>
      </c>
    </row>
    <row r="185" spans="3:11" x14ac:dyDescent="0.25">
      <c r="C185" s="231" t="s">
        <v>273</v>
      </c>
      <c r="D185" s="272">
        <v>0</v>
      </c>
      <c r="E185" s="272">
        <v>2.4</v>
      </c>
      <c r="F185" s="272">
        <v>107.2</v>
      </c>
      <c r="G185" s="204">
        <f t="shared" si="126"/>
        <v>107.2</v>
      </c>
      <c r="H185" s="204">
        <f t="shared" si="126"/>
        <v>107.2</v>
      </c>
      <c r="I185" s="204">
        <f t="shared" si="126"/>
        <v>107.2</v>
      </c>
      <c r="J185" s="204">
        <f t="shared" si="126"/>
        <v>107.2</v>
      </c>
      <c r="K185" s="204">
        <f t="shared" si="126"/>
        <v>107.2</v>
      </c>
    </row>
    <row r="186" spans="3:11" x14ac:dyDescent="0.25">
      <c r="C186" s="38" t="s">
        <v>226</v>
      </c>
      <c r="D186" s="269">
        <f>SUM(D178:D185)*1000000</f>
        <v>12125800000.000002</v>
      </c>
      <c r="E186" s="269">
        <f>SUM(E178:E185)*1000000</f>
        <v>16146599999.999996</v>
      </c>
      <c r="F186" s="269">
        <f>SUM(F178:F185)*1000000</f>
        <v>20915200000</v>
      </c>
      <c r="G186" s="269">
        <f t="shared" ref="G186:K186" si="127">SUM(G178:G185)*1000000</f>
        <v>25129110699.999996</v>
      </c>
      <c r="H186" s="269">
        <f t="shared" si="127"/>
        <v>29398883802.999996</v>
      </c>
      <c r="I186" s="269">
        <f t="shared" si="127"/>
        <v>33255852514.688194</v>
      </c>
      <c r="J186" s="269">
        <f t="shared" si="127"/>
        <v>36595843297.276352</v>
      </c>
      <c r="K186" s="269">
        <f t="shared" si="127"/>
        <v>39827486165.773544</v>
      </c>
    </row>
    <row r="187" spans="3:11" x14ac:dyDescent="0.25">
      <c r="C187" s="270"/>
      <c r="D187" s="204"/>
      <c r="E187" s="204"/>
      <c r="F187" s="204"/>
      <c r="G187" s="204"/>
      <c r="H187" s="204"/>
      <c r="I187" s="204"/>
      <c r="J187" s="204"/>
      <c r="K187" s="204"/>
    </row>
    <row r="188" spans="3:11" x14ac:dyDescent="0.25">
      <c r="C188" s="6" t="s">
        <v>227</v>
      </c>
      <c r="D188" s="204">
        <f t="shared" ref="D188:K188" si="128">D16-D186</f>
        <v>197045.99999809265</v>
      </c>
      <c r="E188" s="204">
        <f t="shared" si="128"/>
        <v>-54300.999996185303</v>
      </c>
      <c r="F188" s="204">
        <f t="shared" si="128"/>
        <v>-127568</v>
      </c>
      <c r="G188" s="204">
        <f t="shared" si="128"/>
        <v>0</v>
      </c>
      <c r="H188" s="204">
        <f t="shared" si="128"/>
        <v>0</v>
      </c>
      <c r="I188" s="204">
        <f t="shared" si="128"/>
        <v>0</v>
      </c>
      <c r="J188" s="204">
        <f t="shared" si="128"/>
        <v>0</v>
      </c>
      <c r="K188" s="204">
        <f t="shared" si="128"/>
        <v>0</v>
      </c>
    </row>
    <row r="189" spans="3:11" x14ac:dyDescent="0.25">
      <c r="D189" s="204"/>
      <c r="E189" s="204"/>
      <c r="F189" s="204"/>
      <c r="G189" s="204"/>
      <c r="H189" s="204"/>
      <c r="I189" s="204"/>
      <c r="J189" s="204"/>
      <c r="K189" s="204"/>
    </row>
    <row r="190" spans="3:11" x14ac:dyDescent="0.25">
      <c r="C190" s="231" t="s">
        <v>267</v>
      </c>
      <c r="D190" s="7"/>
      <c r="E190" s="1">
        <f>E178/D178-1</f>
        <v>0.37127227517612948</v>
      </c>
      <c r="F190" s="1">
        <f t="shared" ref="F190:F196" si="129">F178/E178-1</f>
        <v>0.31229902565218426</v>
      </c>
      <c r="G190" s="215">
        <v>0.20799999999999999</v>
      </c>
      <c r="H190" s="215">
        <v>0.17599999999999999</v>
      </c>
      <c r="I190" s="215">
        <v>0.13400000000000001</v>
      </c>
      <c r="J190" s="215">
        <v>0.10199999999999999</v>
      </c>
      <c r="K190" s="215">
        <v>9.1999999999999998E-2</v>
      </c>
    </row>
    <row r="191" spans="3:11" x14ac:dyDescent="0.25">
      <c r="C191" s="231" t="s">
        <v>225</v>
      </c>
      <c r="D191" s="7"/>
      <c r="E191" s="1">
        <f t="shared" ref="E191:E196" si="130">E179/D179-1</f>
        <v>0.1452810701814784</v>
      </c>
      <c r="F191" s="1">
        <f t="shared" si="129"/>
        <v>0.26366642332631951</v>
      </c>
      <c r="G191" s="215">
        <v>0.219</v>
      </c>
      <c r="H191" s="215">
        <v>0.182</v>
      </c>
      <c r="I191" s="215">
        <v>0.13900000000000001</v>
      </c>
      <c r="J191" s="215">
        <v>0.107</v>
      </c>
      <c r="K191" s="215">
        <v>9.1999999999999998E-2</v>
      </c>
    </row>
    <row r="192" spans="3:11" x14ac:dyDescent="0.25">
      <c r="C192" s="231" t="s">
        <v>268</v>
      </c>
      <c r="D192" s="7"/>
      <c r="E192" s="1">
        <f t="shared" si="130"/>
        <v>-0.32641334569045422</v>
      </c>
      <c r="F192" s="1">
        <f t="shared" si="129"/>
        <v>0.49243258117776567</v>
      </c>
      <c r="G192" s="215">
        <v>0.14199999999999999</v>
      </c>
      <c r="H192" s="215">
        <v>0.122</v>
      </c>
      <c r="I192" s="215">
        <v>9.6000000000000002E-2</v>
      </c>
      <c r="J192" s="215">
        <v>7.5999999999999998E-2</v>
      </c>
      <c r="K192" s="215">
        <v>6.0999999999999999E-2</v>
      </c>
    </row>
    <row r="193" spans="3:11" x14ac:dyDescent="0.25">
      <c r="C193" s="231" t="s">
        <v>269</v>
      </c>
      <c r="D193" s="7"/>
      <c r="E193" s="1">
        <f t="shared" si="130"/>
        <v>2.1831192660550456</v>
      </c>
      <c r="F193" s="1">
        <f t="shared" si="129"/>
        <v>0.16359234493889785</v>
      </c>
      <c r="G193" s="215">
        <v>0.154</v>
      </c>
      <c r="H193" s="215">
        <v>0.128</v>
      </c>
      <c r="I193" s="215">
        <v>0.10199999999999999</v>
      </c>
      <c r="J193" s="215">
        <v>7.5999999999999998E-2</v>
      </c>
      <c r="K193" s="215">
        <v>6.0999999999999999E-2</v>
      </c>
    </row>
    <row r="194" spans="3:11" x14ac:dyDescent="0.25">
      <c r="C194" s="231" t="s">
        <v>270</v>
      </c>
      <c r="D194" s="7"/>
      <c r="E194" s="1">
        <f t="shared" si="130"/>
        <v>0.57556061098472555</v>
      </c>
      <c r="F194" s="1">
        <f t="shared" si="129"/>
        <v>0.1509900990099009</v>
      </c>
      <c r="G194" s="215">
        <v>0.188</v>
      </c>
      <c r="H194" s="215">
        <v>0.16600000000000001</v>
      </c>
      <c r="I194" s="215">
        <v>0.14499999999999999</v>
      </c>
      <c r="J194" s="215">
        <v>0.113</v>
      </c>
      <c r="K194" s="215">
        <v>0.10299999999999999</v>
      </c>
    </row>
    <row r="195" spans="3:11" x14ac:dyDescent="0.25">
      <c r="C195" s="231" t="s">
        <v>271</v>
      </c>
      <c r="D195" s="7"/>
      <c r="E195" s="1">
        <f t="shared" si="130"/>
        <v>1.4456928838951315</v>
      </c>
      <c r="F195" s="1">
        <f t="shared" si="129"/>
        <v>0.75344563552833077</v>
      </c>
      <c r="G195" s="215">
        <v>0.26500000000000001</v>
      </c>
      <c r="H195" s="215">
        <v>0.21</v>
      </c>
      <c r="I195" s="215">
        <v>0.17699999999999999</v>
      </c>
      <c r="J195" s="215">
        <v>0.13400000000000001</v>
      </c>
      <c r="K195" s="215">
        <v>0.113</v>
      </c>
    </row>
    <row r="196" spans="3:11" x14ac:dyDescent="0.25">
      <c r="C196" s="231" t="s">
        <v>272</v>
      </c>
      <c r="D196" s="7"/>
      <c r="E196" s="1">
        <f t="shared" si="130"/>
        <v>3.8523489932885902</v>
      </c>
      <c r="F196" s="1">
        <f t="shared" si="129"/>
        <v>-0.13969571230982014</v>
      </c>
      <c r="G196" s="215">
        <v>0.1</v>
      </c>
      <c r="H196" s="215">
        <v>0.08</v>
      </c>
      <c r="I196" s="215">
        <v>7.0000000000000007E-2</v>
      </c>
      <c r="J196" s="215">
        <v>0.05</v>
      </c>
      <c r="K196" s="215">
        <v>0.05</v>
      </c>
    </row>
    <row r="197" spans="3:11" x14ac:dyDescent="0.25">
      <c r="C197" s="231" t="s">
        <v>273</v>
      </c>
      <c r="D197" s="7"/>
      <c r="E197" s="1"/>
      <c r="F197" s="1"/>
      <c r="G197" s="215"/>
      <c r="H197" s="215"/>
      <c r="I197" s="215"/>
      <c r="J197" s="215"/>
      <c r="K197" s="215"/>
    </row>
    <row r="198" spans="3:11" x14ac:dyDescent="0.25">
      <c r="E198" s="1"/>
      <c r="F198" s="1"/>
      <c r="G198" s="1"/>
      <c r="H198" s="1"/>
      <c r="I198" s="1"/>
      <c r="J198" s="1"/>
      <c r="K198" s="1"/>
    </row>
    <row r="199" spans="3:11" x14ac:dyDescent="0.25">
      <c r="C199" s="13" t="s">
        <v>157</v>
      </c>
    </row>
    <row r="200" spans="3:11" x14ac:dyDescent="0.25">
      <c r="C200" s="48" t="s">
        <v>42</v>
      </c>
      <c r="D200" s="49">
        <f>D$13</f>
        <v>2023</v>
      </c>
      <c r="E200" s="49">
        <f t="shared" ref="E200:K200" si="131">E$13</f>
        <v>2024</v>
      </c>
      <c r="F200" s="49">
        <f t="shared" si="131"/>
        <v>2025</v>
      </c>
      <c r="G200" s="50">
        <f t="shared" si="131"/>
        <v>2026</v>
      </c>
      <c r="H200" s="50">
        <f t="shared" si="131"/>
        <v>2027</v>
      </c>
      <c r="I200" s="50">
        <f t="shared" si="131"/>
        <v>2028</v>
      </c>
      <c r="J200" s="50">
        <f t="shared" si="131"/>
        <v>2029</v>
      </c>
      <c r="K200" s="50">
        <f t="shared" si="131"/>
        <v>2030</v>
      </c>
    </row>
    <row r="201" spans="3:11" x14ac:dyDescent="0.25">
      <c r="C201" s="43" t="s">
        <v>43</v>
      </c>
      <c r="D201" s="254">
        <f>D$14</f>
        <v>45291</v>
      </c>
      <c r="E201" s="235">
        <f t="shared" ref="E201:K201" si="132">E$14</f>
        <v>45657</v>
      </c>
      <c r="F201" s="235">
        <f t="shared" si="132"/>
        <v>46022</v>
      </c>
      <c r="G201" s="235">
        <f t="shared" si="132"/>
        <v>46387</v>
      </c>
      <c r="H201" s="235">
        <f t="shared" si="132"/>
        <v>46752</v>
      </c>
      <c r="I201" s="235">
        <f t="shared" si="132"/>
        <v>47118</v>
      </c>
      <c r="J201" s="235">
        <f t="shared" si="132"/>
        <v>47483</v>
      </c>
      <c r="K201" s="235">
        <f t="shared" si="132"/>
        <v>47848</v>
      </c>
    </row>
    <row r="202" spans="3:11" x14ac:dyDescent="0.25">
      <c r="D202" s="6"/>
    </row>
    <row r="203" spans="3:11" x14ac:dyDescent="0.25">
      <c r="C203" s="13" t="s">
        <v>158</v>
      </c>
      <c r="D203" s="6"/>
    </row>
    <row r="204" spans="3:11" x14ac:dyDescent="0.25">
      <c r="C204" s="17" t="s">
        <v>197</v>
      </c>
      <c r="D204" s="27">
        <f t="shared" ref="D204:F205" si="133">D56</f>
        <v>1866984477</v>
      </c>
      <c r="E204" s="27">
        <f t="shared" si="133"/>
        <v>3034025532</v>
      </c>
      <c r="F204" s="27">
        <f t="shared" si="133"/>
        <v>2315050051</v>
      </c>
      <c r="G204" s="27">
        <f>G221/365*-G17</f>
        <v>2773015546.140069</v>
      </c>
      <c r="H204" s="27">
        <f>H221/365*-H17</f>
        <v>3234269010.6509266</v>
      </c>
      <c r="I204" s="27">
        <f>I221/365*-I17</f>
        <v>3647366554.8630385</v>
      </c>
      <c r="J204" s="27">
        <f>J221/365*-J17</f>
        <v>4001335833.4621143</v>
      </c>
      <c r="K204" s="27">
        <f>K221/365*-K17</f>
        <v>4341241262.506896</v>
      </c>
    </row>
    <row r="205" spans="3:11" x14ac:dyDescent="0.25">
      <c r="C205" s="17" t="s">
        <v>205</v>
      </c>
      <c r="D205" s="27">
        <f t="shared" si="133"/>
        <v>105537703</v>
      </c>
      <c r="E205" s="27">
        <f t="shared" si="133"/>
        <v>174828115</v>
      </c>
      <c r="F205" s="27">
        <f t="shared" si="133"/>
        <v>243511563</v>
      </c>
      <c r="G205" s="27">
        <f>G222/365*G16</f>
        <v>292575081.59496593</v>
      </c>
      <c r="H205" s="27">
        <f>H222/365*H16</f>
        <v>342287513.8778249</v>
      </c>
      <c r="I205" s="27">
        <f>I222/365*I16</f>
        <v>387193716.44914812</v>
      </c>
      <c r="J205" s="27">
        <f>J222/365*J16</f>
        <v>426080809.88465774</v>
      </c>
      <c r="K205" s="27">
        <f>K222/365*K16</f>
        <v>463706422.15657771</v>
      </c>
    </row>
    <row r="206" spans="3:11" x14ac:dyDescent="0.25">
      <c r="C206" s="17" t="s">
        <v>233</v>
      </c>
      <c r="D206" s="27">
        <f>D59</f>
        <v>54057426</v>
      </c>
      <c r="E206" s="27">
        <f>E59</f>
        <v>136103684</v>
      </c>
      <c r="F206" s="27">
        <f>F59</f>
        <v>89033817</v>
      </c>
      <c r="G206" s="27">
        <f>$F206/$F$16*G$16</f>
        <v>106972646.1962148</v>
      </c>
      <c r="H206" s="27">
        <f t="shared" ref="H206:K207" si="134">$F206/$F$16*H$16</f>
        <v>125148734.19782217</v>
      </c>
      <c r="I206" s="27">
        <f t="shared" si="134"/>
        <v>141567546.39977136</v>
      </c>
      <c r="J206" s="27">
        <f t="shared" si="134"/>
        <v>155785624.2517831</v>
      </c>
      <c r="K206" s="27">
        <f t="shared" si="134"/>
        <v>169542473.56218353</v>
      </c>
    </row>
    <row r="207" spans="3:11" x14ac:dyDescent="0.25">
      <c r="C207" s="17" t="s">
        <v>232</v>
      </c>
      <c r="D207" s="27">
        <f>D58</f>
        <v>603531291</v>
      </c>
      <c r="E207" s="27">
        <f>E58</f>
        <v>536108374</v>
      </c>
      <c r="F207" s="27">
        <f>F58</f>
        <v>947732627</v>
      </c>
      <c r="G207" s="27">
        <f>$F207/$F$16*G$16</f>
        <v>1138684944.8078835</v>
      </c>
      <c r="H207" s="27">
        <f t="shared" si="134"/>
        <v>1332162796.3791189</v>
      </c>
      <c r="I207" s="27">
        <f t="shared" si="134"/>
        <v>1506935085.6585166</v>
      </c>
      <c r="J207" s="27">
        <f t="shared" si="134"/>
        <v>1658281357.5315692</v>
      </c>
      <c r="K207" s="27">
        <f t="shared" si="134"/>
        <v>1804718019.1900146</v>
      </c>
    </row>
    <row r="208" spans="3:11" x14ac:dyDescent="0.25">
      <c r="C208" s="13" t="s">
        <v>159</v>
      </c>
      <c r="D208" s="216">
        <f>SUM(D204:D207)</f>
        <v>2630110897</v>
      </c>
      <c r="E208" s="216">
        <f t="shared" ref="E208:G208" si="135">SUM(E204:E207)</f>
        <v>3881065705</v>
      </c>
      <c r="F208" s="216">
        <f t="shared" si="135"/>
        <v>3595328058</v>
      </c>
      <c r="G208" s="216">
        <f t="shared" si="135"/>
        <v>4311248218.7391329</v>
      </c>
      <c r="H208" s="216">
        <f t="shared" ref="H208" si="136">SUM(H204:H207)</f>
        <v>5033868055.1056919</v>
      </c>
      <c r="I208" s="216">
        <f t="shared" ref="I208" si="137">SUM(I204:I207)</f>
        <v>5683062903.3704748</v>
      </c>
      <c r="J208" s="216">
        <f t="shared" ref="J208" si="138">SUM(J204:J207)</f>
        <v>6241483625.130125</v>
      </c>
      <c r="K208" s="216">
        <f t="shared" ref="K208" si="139">SUM(K204:K207)</f>
        <v>6779208177.4156723</v>
      </c>
    </row>
    <row r="209" spans="3:11" x14ac:dyDescent="0.25">
      <c r="C209" s="13"/>
      <c r="E209" s="7"/>
      <c r="F209" s="7"/>
      <c r="G209" s="7"/>
      <c r="H209" s="7"/>
      <c r="I209" s="7"/>
      <c r="J209" s="7"/>
      <c r="K209" s="7"/>
    </row>
    <row r="210" spans="3:11" x14ac:dyDescent="0.25">
      <c r="C210" s="13" t="s">
        <v>163</v>
      </c>
      <c r="E210" s="7"/>
      <c r="F210" s="7"/>
      <c r="G210" s="7"/>
      <c r="H210" s="7"/>
      <c r="I210" s="7"/>
      <c r="J210" s="7"/>
      <c r="K210" s="7"/>
    </row>
    <row r="211" spans="3:11" x14ac:dyDescent="0.25">
      <c r="C211" s="17" t="s">
        <v>239</v>
      </c>
      <c r="D211" s="19">
        <f>D79</f>
        <v>960343470</v>
      </c>
      <c r="E211" s="19">
        <f>E79</f>
        <v>989684681</v>
      </c>
      <c r="F211" s="19">
        <f>F79</f>
        <v>1582315367</v>
      </c>
      <c r="G211" s="27">
        <f>G223/365*-G17</f>
        <v>1895330560.8628197</v>
      </c>
      <c r="H211" s="27">
        <f>H223/365*-H17</f>
        <v>2210593051.4781985</v>
      </c>
      <c r="I211" s="27">
        <f>I223/365*-I17</f>
        <v>2492941414.5273852</v>
      </c>
      <c r="J211" s="27">
        <f>J223/365*-J17</f>
        <v>2734876153.1440678</v>
      </c>
      <c r="K211" s="27">
        <f>K223/365*-K17</f>
        <v>2967198380.2475219</v>
      </c>
    </row>
    <row r="212" spans="3:11" x14ac:dyDescent="0.25">
      <c r="C212" s="17" t="s">
        <v>237</v>
      </c>
      <c r="D212" s="19">
        <f>D77</f>
        <v>105601704</v>
      </c>
      <c r="E212" s="19">
        <f>E77</f>
        <v>99601868</v>
      </c>
      <c r="F212" s="19">
        <f>F77</f>
        <v>111646561</v>
      </c>
      <c r="G212" s="27">
        <f>$F212/$F$16*G$16</f>
        <v>134141480.97095639</v>
      </c>
      <c r="H212" s="27">
        <f t="shared" ref="H212:K213" si="140">$F212/$F$16*H$16</f>
        <v>156933918.56590781</v>
      </c>
      <c r="I212" s="27">
        <f t="shared" si="140"/>
        <v>177522768.73339489</v>
      </c>
      <c r="J212" s="27">
        <f t="shared" si="140"/>
        <v>195351943.64350101</v>
      </c>
      <c r="K212" s="27">
        <f t="shared" si="140"/>
        <v>212602747.52290145</v>
      </c>
    </row>
    <row r="213" spans="3:11" x14ac:dyDescent="0.25">
      <c r="C213" s="17" t="s">
        <v>240</v>
      </c>
      <c r="D213" s="19">
        <f>357913045-18983051</f>
        <v>338929994</v>
      </c>
      <c r="E213" s="188">
        <f>643699632-38171524</f>
        <v>605528108</v>
      </c>
      <c r="F213" s="188">
        <f>932749514-945747</f>
        <v>931803767</v>
      </c>
      <c r="G213" s="27">
        <f>$F213/$F$16*G$16</f>
        <v>1119546685.1835766</v>
      </c>
      <c r="H213" s="27">
        <f t="shared" si="140"/>
        <v>1309772689.6378305</v>
      </c>
      <c r="I213" s="27">
        <f t="shared" si="140"/>
        <v>1481607522.4569361</v>
      </c>
      <c r="J213" s="27">
        <f t="shared" si="140"/>
        <v>1630410066.7980802</v>
      </c>
      <c r="K213" s="27">
        <f t="shared" si="140"/>
        <v>1774385518.3894958</v>
      </c>
    </row>
    <row r="214" spans="3:11" x14ac:dyDescent="0.25">
      <c r="C214" s="13" t="s">
        <v>164</v>
      </c>
      <c r="D214" s="219">
        <f>SUM(D211:D213)</f>
        <v>1404875168</v>
      </c>
      <c r="E214" s="219">
        <f t="shared" ref="E214:G214" si="141">SUM(E211:E213)</f>
        <v>1694814657</v>
      </c>
      <c r="F214" s="219">
        <f t="shared" si="141"/>
        <v>2625765695</v>
      </c>
      <c r="G214" s="219">
        <f t="shared" si="141"/>
        <v>3149018727.0173526</v>
      </c>
      <c r="H214" s="219">
        <f t="shared" ref="H214" si="142">SUM(H211:H213)</f>
        <v>3677299659.6819372</v>
      </c>
      <c r="I214" s="219">
        <f t="shared" ref="I214" si="143">SUM(I211:I213)</f>
        <v>4152071705.7177162</v>
      </c>
      <c r="J214" s="219">
        <f t="shared" ref="J214" si="144">SUM(J211:J213)</f>
        <v>4560638163.5856485</v>
      </c>
      <c r="K214" s="219">
        <f t="shared" ref="K214" si="145">SUM(K211:K213)</f>
        <v>4954186646.1599197</v>
      </c>
    </row>
    <row r="215" spans="3:11" x14ac:dyDescent="0.25">
      <c r="E215" s="7"/>
      <c r="F215" s="7"/>
      <c r="G215" s="7"/>
      <c r="H215" s="7"/>
      <c r="I215" s="7"/>
      <c r="J215" s="7"/>
      <c r="K215" s="7"/>
    </row>
    <row r="216" spans="3:11" x14ac:dyDescent="0.25">
      <c r="C216" s="6" t="s">
        <v>160</v>
      </c>
      <c r="D216" s="19">
        <f>D208-D214</f>
        <v>1225235729</v>
      </c>
      <c r="E216" s="19">
        <f t="shared" ref="E216:K216" si="146">E208-E214</f>
        <v>2186251048</v>
      </c>
      <c r="F216" s="19">
        <f t="shared" si="146"/>
        <v>969562363</v>
      </c>
      <c r="G216" s="19">
        <f t="shared" si="146"/>
        <v>1162229491.7217803</v>
      </c>
      <c r="H216" s="19">
        <f t="shared" si="146"/>
        <v>1356568395.4237547</v>
      </c>
      <c r="I216" s="19">
        <f t="shared" si="146"/>
        <v>1530991197.6527586</v>
      </c>
      <c r="J216" s="19">
        <f t="shared" si="146"/>
        <v>1680845461.5444765</v>
      </c>
      <c r="K216" s="19">
        <f t="shared" si="146"/>
        <v>1825021531.2557526</v>
      </c>
    </row>
    <row r="217" spans="3:11" x14ac:dyDescent="0.25">
      <c r="C217" s="6" t="s">
        <v>161</v>
      </c>
      <c r="D217" s="22">
        <f t="shared" ref="D217:K217" si="147">D216/D16</f>
        <v>0.10104206065299745</v>
      </c>
      <c r="E217" s="22">
        <f t="shared" si="147"/>
        <v>0.13540054255291276</v>
      </c>
      <c r="F217" s="22">
        <f t="shared" si="147"/>
        <v>4.6357112372060083E-2</v>
      </c>
      <c r="G217" s="22">
        <f t="shared" si="147"/>
        <v>4.6250323204703798E-2</v>
      </c>
      <c r="H217" s="22">
        <f t="shared" si="147"/>
        <v>4.6143534037347507E-2</v>
      </c>
      <c r="I217" s="22">
        <f t="shared" si="147"/>
        <v>4.6036744869991285E-2</v>
      </c>
      <c r="J217" s="22">
        <f t="shared" si="147"/>
        <v>4.5929955702635049E-2</v>
      </c>
      <c r="K217" s="22">
        <f t="shared" si="147"/>
        <v>4.5823166535278771E-2</v>
      </c>
    </row>
    <row r="218" spans="3:11" x14ac:dyDescent="0.25">
      <c r="C218" s="6" t="s">
        <v>162</v>
      </c>
      <c r="D218" s="19"/>
      <c r="E218" s="188">
        <f>D216-E216</f>
        <v>-961015319</v>
      </c>
      <c r="F218" s="188">
        <f t="shared" ref="F218:K218" si="148">E216-F216</f>
        <v>1216688685</v>
      </c>
      <c r="G218" s="188">
        <f t="shared" si="148"/>
        <v>-192667128.7217803</v>
      </c>
      <c r="H218" s="188">
        <f t="shared" si="148"/>
        <v>-194338903.70197439</v>
      </c>
      <c r="I218" s="188">
        <f t="shared" si="148"/>
        <v>-174422802.22900391</v>
      </c>
      <c r="J218" s="188">
        <f t="shared" si="148"/>
        <v>-149854263.89171791</v>
      </c>
      <c r="K218" s="188">
        <f t="shared" si="148"/>
        <v>-144176069.71127605</v>
      </c>
    </row>
    <row r="219" spans="3:11" x14ac:dyDescent="0.25">
      <c r="D219" s="19"/>
      <c r="E219" s="188"/>
      <c r="F219" s="188"/>
      <c r="G219" s="188"/>
      <c r="H219" s="188"/>
      <c r="I219" s="188"/>
      <c r="J219" s="188"/>
      <c r="K219" s="188"/>
    </row>
    <row r="220" spans="3:11" x14ac:dyDescent="0.25">
      <c r="C220" s="13" t="s">
        <v>183</v>
      </c>
      <c r="G220" s="244"/>
      <c r="H220" s="244"/>
      <c r="I220" s="244"/>
      <c r="J220" s="244"/>
      <c r="K220" s="244"/>
    </row>
    <row r="221" spans="3:11" x14ac:dyDescent="0.25">
      <c r="C221" s="17" t="s">
        <v>184</v>
      </c>
      <c r="D221" s="249">
        <f>D204/-D17*365</f>
        <v>83.599984331081743</v>
      </c>
      <c r="E221" s="249">
        <f>E204/-E17*365</f>
        <v>99.241098161781579</v>
      </c>
      <c r="F221" s="249">
        <f>F204/-F17*365</f>
        <v>61.574898491526561</v>
      </c>
      <c r="G221" s="274">
        <f>F221</f>
        <v>61.574898491526561</v>
      </c>
      <c r="H221" s="274">
        <f t="shared" ref="H221:K221" si="149">G221</f>
        <v>61.574898491526561</v>
      </c>
      <c r="I221" s="274">
        <f t="shared" si="149"/>
        <v>61.574898491526561</v>
      </c>
      <c r="J221" s="274">
        <f t="shared" si="149"/>
        <v>61.574898491526561</v>
      </c>
      <c r="K221" s="274">
        <f t="shared" si="149"/>
        <v>61.574898491526561</v>
      </c>
    </row>
    <row r="222" spans="3:11" x14ac:dyDescent="0.25">
      <c r="C222" s="17" t="s">
        <v>185</v>
      </c>
      <c r="D222" s="249">
        <f>D205/D16*365</f>
        <v>3.1767500395117616</v>
      </c>
      <c r="E222" s="249">
        <f>E205/E16*365</f>
        <v>3.9520689542254273</v>
      </c>
      <c r="F222" s="249">
        <f>F205/F16*365</f>
        <v>4.2496491840502175</v>
      </c>
      <c r="G222" s="274">
        <f t="shared" ref="G222:K222" si="150">F222</f>
        <v>4.2496491840502175</v>
      </c>
      <c r="H222" s="274">
        <f t="shared" si="150"/>
        <v>4.2496491840502175</v>
      </c>
      <c r="I222" s="274">
        <f t="shared" si="150"/>
        <v>4.2496491840502175</v>
      </c>
      <c r="J222" s="274">
        <f t="shared" si="150"/>
        <v>4.2496491840502175</v>
      </c>
      <c r="K222" s="274">
        <f t="shared" si="150"/>
        <v>4.2496491840502175</v>
      </c>
    </row>
    <row r="223" spans="3:11" x14ac:dyDescent="0.25">
      <c r="C223" s="17" t="s">
        <v>186</v>
      </c>
      <c r="D223" s="249">
        <f>D211/-D17*365</f>
        <v>43.002338816155387</v>
      </c>
      <c r="E223" s="249">
        <f>E211/-E17*365</f>
        <v>32.371973650330013</v>
      </c>
      <c r="F223" s="249">
        <f>F211/-F17*365</f>
        <v>42.08587544900886</v>
      </c>
      <c r="G223" s="274">
        <f t="shared" ref="G223:K223" si="151">F223</f>
        <v>42.08587544900886</v>
      </c>
      <c r="H223" s="274">
        <f t="shared" si="151"/>
        <v>42.08587544900886</v>
      </c>
      <c r="I223" s="274">
        <f t="shared" si="151"/>
        <v>42.08587544900886</v>
      </c>
      <c r="J223" s="274">
        <f t="shared" si="151"/>
        <v>42.08587544900886</v>
      </c>
      <c r="K223" s="274">
        <f t="shared" si="151"/>
        <v>42.08587544900886</v>
      </c>
    </row>
    <row r="224" spans="3:11" x14ac:dyDescent="0.25">
      <c r="D224" s="245"/>
      <c r="E224" s="245"/>
      <c r="F224" s="245"/>
      <c r="G224" s="244"/>
      <c r="H224" s="244"/>
      <c r="I224" s="244"/>
      <c r="J224" s="244"/>
      <c r="K224" s="244"/>
    </row>
    <row r="225" spans="3:11" x14ac:dyDescent="0.25">
      <c r="C225" s="13" t="s">
        <v>165</v>
      </c>
    </row>
    <row r="226" spans="3:11" x14ac:dyDescent="0.25">
      <c r="C226" s="48" t="s">
        <v>42</v>
      </c>
      <c r="D226" s="49">
        <f t="shared" ref="D226:K226" si="152">D$13</f>
        <v>2023</v>
      </c>
      <c r="E226" s="49">
        <f t="shared" si="152"/>
        <v>2024</v>
      </c>
      <c r="F226" s="49">
        <f t="shared" si="152"/>
        <v>2025</v>
      </c>
      <c r="G226" s="50">
        <f t="shared" si="152"/>
        <v>2026</v>
      </c>
      <c r="H226" s="50">
        <f t="shared" si="152"/>
        <v>2027</v>
      </c>
      <c r="I226" s="50">
        <f t="shared" si="152"/>
        <v>2028</v>
      </c>
      <c r="J226" s="50">
        <f t="shared" si="152"/>
        <v>2029</v>
      </c>
      <c r="K226" s="50">
        <f t="shared" si="152"/>
        <v>2030</v>
      </c>
    </row>
    <row r="227" spans="3:11" x14ac:dyDescent="0.25">
      <c r="C227" s="43" t="s">
        <v>43</v>
      </c>
      <c r="D227" s="254">
        <f t="shared" ref="D227:K227" si="153">D$14</f>
        <v>45291</v>
      </c>
      <c r="E227" s="235">
        <f t="shared" si="153"/>
        <v>45657</v>
      </c>
      <c r="F227" s="235">
        <f t="shared" si="153"/>
        <v>46022</v>
      </c>
      <c r="G227" s="235">
        <f t="shared" si="153"/>
        <v>46387</v>
      </c>
      <c r="H227" s="235">
        <f t="shared" si="153"/>
        <v>46752</v>
      </c>
      <c r="I227" s="235">
        <f t="shared" si="153"/>
        <v>47118</v>
      </c>
      <c r="J227" s="235">
        <f t="shared" si="153"/>
        <v>47483</v>
      </c>
      <c r="K227" s="235">
        <f t="shared" si="153"/>
        <v>47848</v>
      </c>
    </row>
    <row r="229" spans="3:11" x14ac:dyDescent="0.25">
      <c r="C229" s="13" t="s">
        <v>222</v>
      </c>
      <c r="D229" s="19"/>
      <c r="E229" s="188"/>
      <c r="F229" s="188"/>
      <c r="G229" s="188"/>
      <c r="H229" s="188"/>
      <c r="I229" s="188"/>
      <c r="J229" s="188"/>
      <c r="K229" s="188"/>
    </row>
    <row r="230" spans="3:11" x14ac:dyDescent="0.25">
      <c r="C230" s="29" t="s">
        <v>32</v>
      </c>
      <c r="D230" s="19"/>
      <c r="E230" s="188">
        <f>D231</f>
        <v>2167287271</v>
      </c>
      <c r="F230" s="188">
        <f t="shared" ref="F230" si="154">E231</f>
        <v>3701888067</v>
      </c>
      <c r="G230" s="188">
        <f t="shared" ref="G230:K230" si="155">F231</f>
        <v>5001054285</v>
      </c>
      <c r="H230" s="188">
        <f t="shared" si="155"/>
        <v>5164016366.8405733</v>
      </c>
      <c r="I230" s="188">
        <f t="shared" si="155"/>
        <v>5354667893.0931902</v>
      </c>
      <c r="J230" s="188">
        <f t="shared" si="155"/>
        <v>5570331830.5828934</v>
      </c>
      <c r="K230" s="188">
        <f t="shared" si="155"/>
        <v>5807655581.5756226</v>
      </c>
    </row>
    <row r="231" spans="3:11" x14ac:dyDescent="0.25">
      <c r="C231" s="29" t="s">
        <v>35</v>
      </c>
      <c r="D231" s="19">
        <f>D78+D81+D88+D84+D92</f>
        <v>2167287271</v>
      </c>
      <c r="E231" s="19">
        <f t="shared" ref="E231:K231" si="156">E78+E81+E88+E84+E92</f>
        <v>3701888067</v>
      </c>
      <c r="F231" s="19">
        <f t="shared" si="156"/>
        <v>5001054285</v>
      </c>
      <c r="G231" s="19">
        <f t="shared" si="156"/>
        <v>5164016366.8405733</v>
      </c>
      <c r="H231" s="19">
        <f t="shared" si="156"/>
        <v>5354667893.0931902</v>
      </c>
      <c r="I231" s="19">
        <f t="shared" si="156"/>
        <v>5570331830.5828934</v>
      </c>
      <c r="J231" s="19">
        <f t="shared" si="156"/>
        <v>5807655581.5756226</v>
      </c>
      <c r="K231" s="19">
        <f t="shared" si="156"/>
        <v>6065936510.7153511</v>
      </c>
    </row>
    <row r="232" spans="3:11" x14ac:dyDescent="0.25">
      <c r="C232" s="29" t="s">
        <v>166</v>
      </c>
      <c r="D232" s="19"/>
      <c r="E232" s="188">
        <f>AVERAGE(E230,E231)</f>
        <v>2934587669</v>
      </c>
      <c r="F232" s="188">
        <f t="shared" ref="F232:K232" si="157">AVERAGE(F230,F231)</f>
        <v>4351471176</v>
      </c>
      <c r="G232" s="188">
        <f t="shared" si="157"/>
        <v>5082535325.9202862</v>
      </c>
      <c r="H232" s="188">
        <f t="shared" si="157"/>
        <v>5259342129.9668818</v>
      </c>
      <c r="I232" s="188">
        <f t="shared" si="157"/>
        <v>5462499861.8380413</v>
      </c>
      <c r="J232" s="188">
        <f t="shared" si="157"/>
        <v>5688993706.079258</v>
      </c>
      <c r="K232" s="188">
        <f t="shared" si="157"/>
        <v>5936796046.1454868</v>
      </c>
    </row>
    <row r="233" spans="3:11" x14ac:dyDescent="0.25">
      <c r="C233" s="29" t="s">
        <v>167</v>
      </c>
      <c r="D233" s="22"/>
      <c r="E233" s="1">
        <f>E240/E232</f>
        <v>-0.13709649646864921</v>
      </c>
      <c r="F233" s="1">
        <f t="shared" ref="F233" si="158">F240/F232</f>
        <v>-0.13850171324218832</v>
      </c>
      <c r="G233" s="215">
        <f>F233</f>
        <v>-0.13850171324218832</v>
      </c>
      <c r="H233" s="215">
        <f t="shared" ref="H233:K233" si="159">G233</f>
        <v>-0.13850171324218832</v>
      </c>
      <c r="I233" s="215">
        <f t="shared" si="159"/>
        <v>-0.13850171324218832</v>
      </c>
      <c r="J233" s="215">
        <f t="shared" si="159"/>
        <v>-0.13850171324218832</v>
      </c>
      <c r="K233" s="215">
        <f t="shared" si="159"/>
        <v>-0.13850171324218832</v>
      </c>
    </row>
    <row r="234" spans="3:11" x14ac:dyDescent="0.25">
      <c r="C234" s="17"/>
      <c r="D234" s="260"/>
      <c r="E234" s="211"/>
      <c r="F234" s="211"/>
      <c r="G234" s="212"/>
      <c r="H234" s="212"/>
      <c r="I234" s="212"/>
      <c r="J234" s="212"/>
      <c r="K234" s="212"/>
    </row>
    <row r="235" spans="3:11" x14ac:dyDescent="0.25">
      <c r="C235" s="13" t="s">
        <v>277</v>
      </c>
      <c r="D235" s="7"/>
    </row>
    <row r="236" spans="3:11" x14ac:dyDescent="0.25">
      <c r="C236" s="17" t="s">
        <v>282</v>
      </c>
      <c r="D236" s="188">
        <f t="shared" ref="D236:K236" si="160">D61+D62+D60</f>
        <v>1356336212</v>
      </c>
      <c r="E236" s="188">
        <f t="shared" si="160"/>
        <v>1324160294</v>
      </c>
      <c r="F236" s="188">
        <f t="shared" si="160"/>
        <v>4741115968</v>
      </c>
      <c r="G236" s="188">
        <f t="shared" ca="1" si="160"/>
        <v>5023043996.4318504</v>
      </c>
      <c r="H236" s="188">
        <f t="shared" ca="1" si="160"/>
        <v>5427514261.6020288</v>
      </c>
      <c r="I236" s="188">
        <f t="shared" ca="1" si="160"/>
        <v>5926920373.8672562</v>
      </c>
      <c r="J236" s="188">
        <f t="shared" ca="1" si="160"/>
        <v>6511861706.8638868</v>
      </c>
      <c r="K236" s="188">
        <f t="shared" ca="1" si="160"/>
        <v>7172035905.6655436</v>
      </c>
    </row>
    <row r="237" spans="3:11" x14ac:dyDescent="0.25">
      <c r="C237" s="17" t="s">
        <v>278</v>
      </c>
      <c r="D237" s="188"/>
      <c r="E237" s="188">
        <f>AVERAGE(D236,E236)</f>
        <v>1340248253</v>
      </c>
      <c r="F237" s="188">
        <f t="shared" ref="F237:G237" si="161">AVERAGE(E236,F236)</f>
        <v>3032638131</v>
      </c>
      <c r="G237" s="188">
        <f t="shared" ca="1" si="161"/>
        <v>4882079982.2159252</v>
      </c>
      <c r="H237" s="188">
        <f t="shared" ref="H237" ca="1" si="162">AVERAGE(G236,H236)</f>
        <v>5225279129.0169392</v>
      </c>
      <c r="I237" s="188">
        <f t="shared" ref="I237" ca="1" si="163">AVERAGE(H236,I236)</f>
        <v>5677217317.734642</v>
      </c>
      <c r="J237" s="188">
        <f t="shared" ref="J237" ca="1" si="164">AVERAGE(I236,J236)</f>
        <v>6219391040.365572</v>
      </c>
      <c r="K237" s="188">
        <f t="shared" ref="K237" ca="1" si="165">AVERAGE(J236,K236)</f>
        <v>6841948806.2647152</v>
      </c>
    </row>
    <row r="238" spans="3:11" x14ac:dyDescent="0.25">
      <c r="C238" s="17" t="s">
        <v>279</v>
      </c>
      <c r="D238" s="188"/>
      <c r="E238" s="1">
        <f>E241/E237</f>
        <v>0.12554784430672189</v>
      </c>
      <c r="F238" s="1">
        <f t="shared" ref="F238" si="166">F241/F237</f>
        <v>0.18975118268075356</v>
      </c>
      <c r="G238" s="215">
        <v>0.18</v>
      </c>
      <c r="H238" s="215">
        <v>0.16</v>
      </c>
      <c r="I238" s="215">
        <v>0.15</v>
      </c>
      <c r="J238" s="215">
        <v>0.14000000000000001</v>
      </c>
      <c r="K238" s="215">
        <v>0.13</v>
      </c>
    </row>
    <row r="239" spans="3:11" x14ac:dyDescent="0.25">
      <c r="C239" s="17"/>
      <c r="D239" s="260"/>
      <c r="E239" s="211"/>
      <c r="F239" s="211"/>
      <c r="G239" s="212"/>
      <c r="H239" s="212"/>
      <c r="I239" s="212"/>
      <c r="J239" s="212"/>
      <c r="K239" s="212"/>
    </row>
    <row r="240" spans="3:11" x14ac:dyDescent="0.25">
      <c r="C240" s="6" t="s">
        <v>152</v>
      </c>
      <c r="D240" s="19">
        <f>D29</f>
        <v>-211888890</v>
      </c>
      <c r="E240" s="19">
        <f>E29</f>
        <v>-402321688</v>
      </c>
      <c r="F240" s="19">
        <f>F29</f>
        <v>-602686213</v>
      </c>
      <c r="G240" s="188">
        <f>G230*G233</f>
        <v>-692654586.4896872</v>
      </c>
      <c r="H240" s="188">
        <f t="shared" ref="H240:K240" si="167">H230*H233</f>
        <v>-715225114.01812029</v>
      </c>
      <c r="I240" s="188">
        <f t="shared" si="167"/>
        <v>-741630677.03634572</v>
      </c>
      <c r="J240" s="188">
        <f t="shared" si="167"/>
        <v>-771500501.86322582</v>
      </c>
      <c r="K240" s="188">
        <f t="shared" si="167"/>
        <v>-804370247.96878135</v>
      </c>
    </row>
    <row r="241" spans="3:11" x14ac:dyDescent="0.25">
      <c r="C241" s="6" t="s">
        <v>280</v>
      </c>
      <c r="D241" s="188">
        <f>D27</f>
        <v>213587378</v>
      </c>
      <c r="E241" s="188">
        <f>E27</f>
        <v>168265279</v>
      </c>
      <c r="F241" s="188">
        <f>F27</f>
        <v>575446672</v>
      </c>
      <c r="G241" s="188">
        <f ca="1">G237*G238</f>
        <v>878774396.79886651</v>
      </c>
      <c r="H241" s="188">
        <f t="shared" ref="H241:K241" ca="1" si="168">H237*H238</f>
        <v>836044660.64271033</v>
      </c>
      <c r="I241" s="188">
        <f t="shared" ca="1" si="168"/>
        <v>851582597.6601963</v>
      </c>
      <c r="J241" s="188">
        <f t="shared" ca="1" si="168"/>
        <v>870714745.65118015</v>
      </c>
      <c r="K241" s="188">
        <f t="shared" ca="1" si="168"/>
        <v>889453344.81441295</v>
      </c>
    </row>
    <row r="242" spans="3:11" x14ac:dyDescent="0.25">
      <c r="C242" s="6" t="s">
        <v>281</v>
      </c>
      <c r="D242" s="188">
        <f>SUM(D240:D241)</f>
        <v>1698488</v>
      </c>
      <c r="E242" s="188">
        <f t="shared" ref="E242:F242" si="169">SUM(E240:E241)</f>
        <v>-234056409</v>
      </c>
      <c r="F242" s="188">
        <f t="shared" si="169"/>
        <v>-27239541</v>
      </c>
      <c r="G242" s="188">
        <f t="shared" ref="G242" ca="1" si="170">SUM(G240:G241)</f>
        <v>186119810.30917931</v>
      </c>
      <c r="H242" s="188">
        <f t="shared" ref="H242" ca="1" si="171">SUM(H240:H241)</f>
        <v>120819546.62459004</v>
      </c>
      <c r="I242" s="188">
        <f t="shared" ref="I242" ca="1" si="172">SUM(I240:I241)</f>
        <v>109951920.62385058</v>
      </c>
      <c r="J242" s="188">
        <f t="shared" ref="J242" ca="1" si="173">SUM(J240:J241)</f>
        <v>99214243.78795433</v>
      </c>
      <c r="K242" s="188">
        <f t="shared" ref="K242" ca="1" si="174">SUM(K240:K241)</f>
        <v>85083096.845631599</v>
      </c>
    </row>
    <row r="244" spans="3:11" x14ac:dyDescent="0.25">
      <c r="C244" s="13" t="s">
        <v>168</v>
      </c>
    </row>
    <row r="245" spans="3:11" x14ac:dyDescent="0.25">
      <c r="C245" s="48" t="s">
        <v>42</v>
      </c>
      <c r="D245" s="49">
        <f t="shared" ref="D245:K245" si="175">D$13</f>
        <v>2023</v>
      </c>
      <c r="E245" s="49">
        <f t="shared" si="175"/>
        <v>2024</v>
      </c>
      <c r="F245" s="49">
        <f t="shared" si="175"/>
        <v>2025</v>
      </c>
      <c r="G245" s="50">
        <f t="shared" si="175"/>
        <v>2026</v>
      </c>
      <c r="H245" s="50">
        <f t="shared" si="175"/>
        <v>2027</v>
      </c>
      <c r="I245" s="50">
        <f t="shared" si="175"/>
        <v>2028</v>
      </c>
      <c r="J245" s="50">
        <f t="shared" si="175"/>
        <v>2029</v>
      </c>
      <c r="K245" s="50">
        <f t="shared" si="175"/>
        <v>2030</v>
      </c>
    </row>
    <row r="246" spans="3:11" x14ac:dyDescent="0.25">
      <c r="C246" s="43" t="s">
        <v>43</v>
      </c>
      <c r="D246" s="254">
        <f t="shared" ref="D246:K246" si="176">D$14</f>
        <v>45291</v>
      </c>
      <c r="E246" s="235">
        <f t="shared" si="176"/>
        <v>45657</v>
      </c>
      <c r="F246" s="235">
        <f t="shared" si="176"/>
        <v>46022</v>
      </c>
      <c r="G246" s="235">
        <f t="shared" si="176"/>
        <v>46387</v>
      </c>
      <c r="H246" s="235">
        <f t="shared" si="176"/>
        <v>46752</v>
      </c>
      <c r="I246" s="235">
        <f t="shared" si="176"/>
        <v>47118</v>
      </c>
      <c r="J246" s="235">
        <f t="shared" si="176"/>
        <v>47483</v>
      </c>
      <c r="K246" s="235">
        <f t="shared" si="176"/>
        <v>47848</v>
      </c>
    </row>
    <row r="248" spans="3:11" x14ac:dyDescent="0.25">
      <c r="C248" s="13" t="s">
        <v>169</v>
      </c>
    </row>
    <row r="249" spans="3:11" x14ac:dyDescent="0.25">
      <c r="C249" s="17" t="s">
        <v>32</v>
      </c>
      <c r="D249" s="19"/>
      <c r="E249" s="188">
        <f>D253</f>
        <v>3244568334</v>
      </c>
      <c r="F249" s="188">
        <f t="shared" ref="F249:K249" si="177">E253</f>
        <v>4085319751</v>
      </c>
      <c r="G249" s="188">
        <f t="shared" si="177"/>
        <v>5672826654</v>
      </c>
      <c r="H249" s="188">
        <f t="shared" ca="1" si="177"/>
        <v>6942670831.1878986</v>
      </c>
      <c r="I249" s="188">
        <f t="shared" ca="1" si="177"/>
        <v>8418040111.5490475</v>
      </c>
      <c r="J249" s="188">
        <f t="shared" ca="1" si="177"/>
        <v>10097655543.939137</v>
      </c>
      <c r="K249" s="188">
        <f t="shared" ca="1" si="177"/>
        <v>11959765915.610691</v>
      </c>
    </row>
    <row r="250" spans="3:11" x14ac:dyDescent="0.25">
      <c r="C250" s="17" t="s">
        <v>286</v>
      </c>
      <c r="D250" s="19">
        <f t="shared" ref="D250:K250" si="178">D33</f>
        <v>1631794504</v>
      </c>
      <c r="E250" s="19">
        <f t="shared" si="178"/>
        <v>1633729383</v>
      </c>
      <c r="F250" s="19">
        <f t="shared" si="178"/>
        <v>2749571345</v>
      </c>
      <c r="G250" s="19">
        <f t="shared" ca="1" si="178"/>
        <v>3628126220.5368514</v>
      </c>
      <c r="H250" s="19">
        <f t="shared" ca="1" si="178"/>
        <v>4215340801.0318551</v>
      </c>
      <c r="I250" s="19">
        <f t="shared" ca="1" si="178"/>
        <v>4798901235.4002504</v>
      </c>
      <c r="J250" s="19">
        <f t="shared" ca="1" si="178"/>
        <v>5320315347.6330137</v>
      </c>
      <c r="K250" s="19">
        <f t="shared" ca="1" si="178"/>
        <v>5833683709.4003315</v>
      </c>
    </row>
    <row r="251" spans="3:11" x14ac:dyDescent="0.25">
      <c r="C251" s="17" t="s">
        <v>170</v>
      </c>
      <c r="D251" s="243">
        <v>699700000</v>
      </c>
      <c r="E251" s="191">
        <v>700000000</v>
      </c>
      <c r="F251" s="191">
        <v>800100000</v>
      </c>
      <c r="G251" s="188">
        <f ca="1">G250*G261</f>
        <v>2358282043.3489537</v>
      </c>
      <c r="H251" s="188">
        <f ca="1">H250*H261</f>
        <v>2739971520.6707058</v>
      </c>
      <c r="I251" s="188">
        <f ca="1">I250*I261</f>
        <v>3119285803.0101628</v>
      </c>
      <c r="J251" s="188">
        <f ca="1">J250*J261</f>
        <v>3458204975.9614592</v>
      </c>
      <c r="K251" s="188">
        <f ca="1">K250*K261</f>
        <v>3791894411.1102157</v>
      </c>
    </row>
    <row r="252" spans="3:11" x14ac:dyDescent="0.25">
      <c r="C252" s="17" t="s">
        <v>171</v>
      </c>
      <c r="D252" s="19"/>
      <c r="E252" s="188"/>
      <c r="F252" s="188"/>
      <c r="G252" s="188"/>
      <c r="H252" s="188"/>
      <c r="I252" s="188"/>
      <c r="J252" s="188"/>
      <c r="K252" s="188"/>
    </row>
    <row r="253" spans="3:11" x14ac:dyDescent="0.25">
      <c r="C253" s="17" t="s">
        <v>172</v>
      </c>
      <c r="D253" s="19">
        <f>D103</f>
        <v>3244568334</v>
      </c>
      <c r="E253" s="19">
        <f>E103</f>
        <v>4085319751</v>
      </c>
      <c r="F253" s="19">
        <f>F103</f>
        <v>5672826654</v>
      </c>
      <c r="G253" s="188">
        <f ca="1">G249+G250-G251</f>
        <v>6942670831.1878986</v>
      </c>
      <c r="H253" s="188">
        <f t="shared" ref="H253:K253" ca="1" si="179">H249+H250-H251</f>
        <v>8418040111.5490475</v>
      </c>
      <c r="I253" s="188">
        <f t="shared" ca="1" si="179"/>
        <v>10097655543.939137</v>
      </c>
      <c r="J253" s="188">
        <f t="shared" ca="1" si="179"/>
        <v>11959765915.610691</v>
      </c>
      <c r="K253" s="188">
        <f t="shared" ca="1" si="179"/>
        <v>14001555213.900808</v>
      </c>
    </row>
    <row r="254" spans="3:11" x14ac:dyDescent="0.25">
      <c r="D254" s="19"/>
      <c r="E254" s="188"/>
      <c r="F254" s="188"/>
      <c r="G254" s="188"/>
      <c r="H254" s="188"/>
      <c r="I254" s="188"/>
      <c r="J254" s="188"/>
      <c r="K254" s="188"/>
    </row>
    <row r="255" spans="3:11" x14ac:dyDescent="0.25">
      <c r="C255" s="13" t="s">
        <v>283</v>
      </c>
      <c r="D255" s="188"/>
      <c r="E255" s="188"/>
      <c r="F255" s="188"/>
      <c r="G255" s="188"/>
      <c r="H255" s="188"/>
      <c r="I255" s="188"/>
      <c r="J255" s="188"/>
      <c r="K255" s="188"/>
    </row>
    <row r="256" spans="3:11" x14ac:dyDescent="0.25">
      <c r="C256" s="17" t="s">
        <v>32</v>
      </c>
      <c r="D256" s="188"/>
      <c r="E256" s="188">
        <f>D259</f>
        <v>74203124</v>
      </c>
      <c r="F256" s="188">
        <f t="shared" ref="F256:K256" si="180">E259</f>
        <v>102084427</v>
      </c>
      <c r="G256" s="188">
        <f t="shared" si="180"/>
        <v>367793335</v>
      </c>
      <c r="H256" s="188">
        <f t="shared" ca="1" si="180"/>
        <v>380620043.86048377</v>
      </c>
      <c r="I256" s="188">
        <f t="shared" ca="1" si="180"/>
        <v>395522763.86413175</v>
      </c>
      <c r="J256" s="188">
        <f t="shared" ca="1" si="180"/>
        <v>412488576.31251651</v>
      </c>
      <c r="K256" s="188">
        <f t="shared" ca="1" si="180"/>
        <v>431297771.98596656</v>
      </c>
    </row>
    <row r="257" spans="3:11" x14ac:dyDescent="0.25">
      <c r="C257" s="17" t="s">
        <v>284</v>
      </c>
      <c r="D257" s="188">
        <f>D34</f>
        <v>-18284848</v>
      </c>
      <c r="E257" s="188">
        <f>E34</f>
        <v>-27001685</v>
      </c>
      <c r="F257" s="188">
        <f>F34</f>
        <v>-54269675</v>
      </c>
      <c r="G257" s="188">
        <f ca="1">G262*G32</f>
        <v>36647739.601382338</v>
      </c>
      <c r="H257" s="188">
        <f ca="1">H262*H32</f>
        <v>42579200.010422781</v>
      </c>
      <c r="I257" s="188">
        <f ca="1">I262*I32</f>
        <v>48473749.852527782</v>
      </c>
      <c r="J257" s="188">
        <f ca="1">J262*J32</f>
        <v>53740559.067000143</v>
      </c>
      <c r="K257" s="188">
        <f ca="1">K262*K32</f>
        <v>58926098.074750826</v>
      </c>
    </row>
    <row r="258" spans="3:11" x14ac:dyDescent="0.25">
      <c r="C258" s="17" t="s">
        <v>287</v>
      </c>
      <c r="D258" s="188">
        <f>D259-D256-D257</f>
        <v>92487972</v>
      </c>
      <c r="E258" s="188">
        <f t="shared" ref="E258:F258" si="181">E259-E256-E257</f>
        <v>54882988</v>
      </c>
      <c r="F258" s="188">
        <f t="shared" si="181"/>
        <v>319978583</v>
      </c>
      <c r="G258" s="188">
        <f ca="1">G261*G257</f>
        <v>23821030.74089852</v>
      </c>
      <c r="H258" s="188">
        <f ca="1">H261*H257</f>
        <v>27676480.006774809</v>
      </c>
      <c r="I258" s="188">
        <f ca="1">I261*I257</f>
        <v>31507937.404143058</v>
      </c>
      <c r="J258" s="188">
        <f ca="1">J261*J257</f>
        <v>34931363.393550098</v>
      </c>
      <c r="K258" s="188">
        <f ca="1">K261*K257</f>
        <v>38301963.74858804</v>
      </c>
    </row>
    <row r="259" spans="3:11" x14ac:dyDescent="0.25">
      <c r="C259" s="17" t="s">
        <v>172</v>
      </c>
      <c r="D259" s="188">
        <f>D105</f>
        <v>74203124</v>
      </c>
      <c r="E259" s="188">
        <f>E105</f>
        <v>102084427</v>
      </c>
      <c r="F259" s="188">
        <f>F105</f>
        <v>367793335</v>
      </c>
      <c r="G259" s="188">
        <f ca="1">G256+G257-G258</f>
        <v>380620043.86048377</v>
      </c>
      <c r="H259" s="188">
        <f t="shared" ref="H259:K259" ca="1" si="182">H256+H257-H258</f>
        <v>395522763.86413175</v>
      </c>
      <c r="I259" s="188">
        <f t="shared" ca="1" si="182"/>
        <v>412488576.31251651</v>
      </c>
      <c r="J259" s="188">
        <f t="shared" ca="1" si="182"/>
        <v>431297771.98596656</v>
      </c>
      <c r="K259" s="188">
        <f t="shared" ca="1" si="182"/>
        <v>451921906.31212938</v>
      </c>
    </row>
    <row r="260" spans="3:11" x14ac:dyDescent="0.25">
      <c r="D260" s="188"/>
      <c r="E260" s="188"/>
      <c r="F260" s="188"/>
      <c r="G260" s="188"/>
      <c r="H260" s="188"/>
      <c r="I260" s="188"/>
      <c r="J260" s="188"/>
      <c r="K260" s="188"/>
    </row>
    <row r="261" spans="3:11" x14ac:dyDescent="0.25">
      <c r="C261" s="6" t="s">
        <v>218</v>
      </c>
      <c r="D261" s="1">
        <f>D251/D250</f>
        <v>0.4287917371242721</v>
      </c>
      <c r="E261" s="1">
        <f>E251/E250</f>
        <v>0.42846753402610499</v>
      </c>
      <c r="F261" s="1">
        <f>F251/F250</f>
        <v>0.29099081260610099</v>
      </c>
      <c r="G261" s="215">
        <v>0.65</v>
      </c>
      <c r="H261" s="215">
        <f t="shared" ref="H261:K261" si="183">G261</f>
        <v>0.65</v>
      </c>
      <c r="I261" s="215">
        <f t="shared" si="183"/>
        <v>0.65</v>
      </c>
      <c r="J261" s="215">
        <f t="shared" si="183"/>
        <v>0.65</v>
      </c>
      <c r="K261" s="215">
        <f t="shared" si="183"/>
        <v>0.65</v>
      </c>
    </row>
    <row r="262" spans="3:11" x14ac:dyDescent="0.25">
      <c r="C262" s="6" t="s">
        <v>285</v>
      </c>
      <c r="D262" s="22">
        <f>D257/D32</f>
        <v>-1.1332344948792795E-2</v>
      </c>
      <c r="E262" s="22">
        <f>E257/E32</f>
        <v>-1.6805389633607972E-2</v>
      </c>
      <c r="F262" s="22">
        <f>F257/F32</f>
        <v>-2.0134916845875733E-2</v>
      </c>
      <c r="G262" s="215">
        <v>0.01</v>
      </c>
      <c r="H262" s="215">
        <f t="shared" ref="H262:K262" si="184">G262</f>
        <v>0.01</v>
      </c>
      <c r="I262" s="215">
        <f t="shared" si="184"/>
        <v>0.01</v>
      </c>
      <c r="J262" s="215">
        <f t="shared" si="184"/>
        <v>0.01</v>
      </c>
      <c r="K262" s="215">
        <f t="shared" si="184"/>
        <v>0.01</v>
      </c>
    </row>
    <row r="264" spans="3:11" x14ac:dyDescent="0.25">
      <c r="C264" s="13" t="s">
        <v>219</v>
      </c>
    </row>
    <row r="265" spans="3:11" x14ac:dyDescent="0.25">
      <c r="C265" s="48" t="s">
        <v>42</v>
      </c>
      <c r="D265" s="49">
        <f t="shared" ref="D265:K265" si="185">D$13</f>
        <v>2023</v>
      </c>
      <c r="E265" s="49">
        <f t="shared" si="185"/>
        <v>2024</v>
      </c>
      <c r="F265" s="49">
        <f t="shared" si="185"/>
        <v>2025</v>
      </c>
      <c r="G265" s="50">
        <f t="shared" si="185"/>
        <v>2026</v>
      </c>
      <c r="H265" s="50">
        <f t="shared" si="185"/>
        <v>2027</v>
      </c>
      <c r="I265" s="50">
        <f t="shared" si="185"/>
        <v>2028</v>
      </c>
      <c r="J265" s="50">
        <f t="shared" si="185"/>
        <v>2029</v>
      </c>
      <c r="K265" s="50">
        <f t="shared" si="185"/>
        <v>2030</v>
      </c>
    </row>
    <row r="266" spans="3:11" x14ac:dyDescent="0.25">
      <c r="C266" s="43" t="s">
        <v>43</v>
      </c>
      <c r="D266" s="254">
        <f t="shared" ref="D266:K266" si="186">D$14</f>
        <v>45291</v>
      </c>
      <c r="E266" s="235">
        <f t="shared" si="186"/>
        <v>45657</v>
      </c>
      <c r="F266" s="235">
        <f t="shared" si="186"/>
        <v>46022</v>
      </c>
      <c r="G266" s="235">
        <f t="shared" si="186"/>
        <v>46387</v>
      </c>
      <c r="H266" s="235">
        <f t="shared" si="186"/>
        <v>46752</v>
      </c>
      <c r="I266" s="235">
        <f t="shared" si="186"/>
        <v>47118</v>
      </c>
      <c r="J266" s="235">
        <f t="shared" si="186"/>
        <v>47483</v>
      </c>
      <c r="K266" s="235">
        <f t="shared" si="186"/>
        <v>47848</v>
      </c>
    </row>
    <row r="267" spans="3:11" x14ac:dyDescent="0.25">
      <c r="C267" s="246"/>
      <c r="D267" s="261"/>
      <c r="E267" s="247"/>
      <c r="F267" s="247"/>
      <c r="G267" s="247"/>
      <c r="H267" s="247"/>
      <c r="I267" s="247"/>
      <c r="J267" s="247"/>
      <c r="K267" s="247"/>
    </row>
    <row r="268" spans="3:11" x14ac:dyDescent="0.25">
      <c r="C268" s="231" t="s">
        <v>32</v>
      </c>
      <c r="D268" s="19"/>
      <c r="E268" s="188">
        <f>D271</f>
        <v>181837263</v>
      </c>
      <c r="F268" s="188">
        <f t="shared" ref="F268:G268" si="187">E271</f>
        <v>216142451</v>
      </c>
      <c r="G268" s="188">
        <f t="shared" si="187"/>
        <v>298916619</v>
      </c>
      <c r="H268" s="188">
        <f t="shared" ref="H268:K268" si="188">G271</f>
        <v>357663176.05348539</v>
      </c>
      <c r="I268" s="188">
        <f t="shared" si="188"/>
        <v>426391561.44126302</v>
      </c>
      <c r="J268" s="188">
        <f t="shared" si="188"/>
        <v>504136725.62315446</v>
      </c>
      <c r="K268" s="188">
        <f t="shared" si="188"/>
        <v>589690083.31455326</v>
      </c>
    </row>
    <row r="269" spans="3:11" x14ac:dyDescent="0.25">
      <c r="C269" s="231" t="s">
        <v>187</v>
      </c>
      <c r="D269" s="243">
        <v>2326940</v>
      </c>
      <c r="E269" s="191">
        <v>44743763</v>
      </c>
      <c r="F269" s="191">
        <v>61564140</v>
      </c>
      <c r="G269" s="188">
        <f>G273*G16</f>
        <v>73968287.42717202</v>
      </c>
      <c r="H269" s="188">
        <f>H273*H16</f>
        <v>86536492.004802063</v>
      </c>
      <c r="I269" s="188">
        <f>I273*I16</f>
        <v>97889594.534759969</v>
      </c>
      <c r="J269" s="188">
        <f>J273*J16</f>
        <v>107720957.09907809</v>
      </c>
      <c r="K269" s="188">
        <f>K273*K16</f>
        <v>117233394.34418008</v>
      </c>
    </row>
    <row r="270" spans="3:11" x14ac:dyDescent="0.25">
      <c r="C270" s="231" t="s">
        <v>188</v>
      </c>
      <c r="D270" s="243">
        <v>7553869</v>
      </c>
      <c r="E270" s="191">
        <v>228000</v>
      </c>
      <c r="F270" s="191">
        <v>12669115</v>
      </c>
      <c r="G270" s="188">
        <f>G274*G16</f>
        <v>15221730.373686638</v>
      </c>
      <c r="H270" s="188">
        <f>H274*H16</f>
        <v>17808106.617024422</v>
      </c>
      <c r="I270" s="188">
        <f>I274*I16</f>
        <v>20144430.352868497</v>
      </c>
      <c r="J270" s="188">
        <f>J274*J16</f>
        <v>22167599.407679319</v>
      </c>
      <c r="K270" s="188">
        <f>K274*K16</f>
        <v>24125137.698451843</v>
      </c>
    </row>
    <row r="271" spans="3:11" x14ac:dyDescent="0.25">
      <c r="C271" s="231" t="s">
        <v>35</v>
      </c>
      <c r="D271" s="19">
        <f>D68</f>
        <v>181837263</v>
      </c>
      <c r="E271" s="19">
        <f>E68</f>
        <v>216142451</v>
      </c>
      <c r="F271" s="19">
        <f>F68</f>
        <v>298916619</v>
      </c>
      <c r="G271" s="188">
        <f>G268+G269-G270</f>
        <v>357663176.05348539</v>
      </c>
      <c r="H271" s="188">
        <f t="shared" ref="H271:K271" si="189">H268+H269-H270</f>
        <v>426391561.44126302</v>
      </c>
      <c r="I271" s="188">
        <f t="shared" si="189"/>
        <v>504136725.62315446</v>
      </c>
      <c r="J271" s="188">
        <f t="shared" si="189"/>
        <v>589690083.31455326</v>
      </c>
      <c r="K271" s="188">
        <f t="shared" si="189"/>
        <v>682798339.96028149</v>
      </c>
    </row>
    <row r="272" spans="3:11" x14ac:dyDescent="0.25">
      <c r="C272" s="231"/>
      <c r="D272" s="19"/>
      <c r="E272" s="19"/>
      <c r="F272" s="19"/>
      <c r="G272" s="188"/>
      <c r="H272" s="188"/>
      <c r="I272" s="188"/>
      <c r="J272" s="188"/>
      <c r="K272" s="188"/>
    </row>
    <row r="273" spans="3:11" x14ac:dyDescent="0.25">
      <c r="C273" s="231" t="s">
        <v>189</v>
      </c>
      <c r="D273" s="37">
        <f>D269/D16</f>
        <v>1.9189679753118423E-4</v>
      </c>
      <c r="E273" s="37">
        <f>E269/E16</f>
        <v>2.7711043485153055E-3</v>
      </c>
      <c r="F273" s="37">
        <f>F269/F16</f>
        <v>2.9435298491152745E-3</v>
      </c>
      <c r="G273" s="215">
        <f>F273</f>
        <v>2.9435298491152745E-3</v>
      </c>
      <c r="H273" s="215">
        <f t="shared" ref="H273:K274" si="190">G273</f>
        <v>2.9435298491152745E-3</v>
      </c>
      <c r="I273" s="215">
        <f t="shared" si="190"/>
        <v>2.9435298491152745E-3</v>
      </c>
      <c r="J273" s="215">
        <f t="shared" si="190"/>
        <v>2.9435298491152745E-3</v>
      </c>
      <c r="K273" s="215">
        <f t="shared" si="190"/>
        <v>2.9435298491152745E-3</v>
      </c>
    </row>
    <row r="274" spans="3:11" x14ac:dyDescent="0.25">
      <c r="C274" s="231" t="s">
        <v>190</v>
      </c>
      <c r="D274" s="37">
        <f>D270/D16</f>
        <v>6.229482797451112E-4</v>
      </c>
      <c r="E274" s="37">
        <f>E270/E16</f>
        <v>1.4120667308681427E-5</v>
      </c>
      <c r="F274" s="37">
        <f>F270/F16</f>
        <v>6.057409096330114E-4</v>
      </c>
      <c r="G274" s="215">
        <f>F274</f>
        <v>6.057409096330114E-4</v>
      </c>
      <c r="H274" s="215">
        <f t="shared" si="190"/>
        <v>6.057409096330114E-4</v>
      </c>
      <c r="I274" s="215">
        <f t="shared" si="190"/>
        <v>6.057409096330114E-4</v>
      </c>
      <c r="J274" s="215">
        <f t="shared" si="190"/>
        <v>6.057409096330114E-4</v>
      </c>
      <c r="K274" s="215">
        <f t="shared" si="190"/>
        <v>6.057409096330114E-4</v>
      </c>
    </row>
    <row r="276" spans="3:11" x14ac:dyDescent="0.25">
      <c r="C276" s="13" t="s">
        <v>288</v>
      </c>
    </row>
    <row r="277" spans="3:11" x14ac:dyDescent="0.25">
      <c r="C277" s="48" t="s">
        <v>42</v>
      </c>
      <c r="D277" s="49">
        <f t="shared" ref="D277:K277" si="191">D$13</f>
        <v>2023</v>
      </c>
      <c r="E277" s="49">
        <f t="shared" si="191"/>
        <v>2024</v>
      </c>
      <c r="F277" s="49">
        <f t="shared" si="191"/>
        <v>2025</v>
      </c>
      <c r="G277" s="50">
        <f t="shared" si="191"/>
        <v>2026</v>
      </c>
      <c r="H277" s="50">
        <f t="shared" si="191"/>
        <v>2027</v>
      </c>
      <c r="I277" s="50">
        <f t="shared" si="191"/>
        <v>2028</v>
      </c>
      <c r="J277" s="50">
        <f t="shared" si="191"/>
        <v>2029</v>
      </c>
      <c r="K277" s="50">
        <f t="shared" si="191"/>
        <v>2030</v>
      </c>
    </row>
    <row r="278" spans="3:11" x14ac:dyDescent="0.25">
      <c r="C278" s="43" t="s">
        <v>43</v>
      </c>
      <c r="D278" s="254">
        <f t="shared" ref="D278:K278" si="192">D$14</f>
        <v>45291</v>
      </c>
      <c r="E278" s="235">
        <f t="shared" si="192"/>
        <v>45657</v>
      </c>
      <c r="F278" s="235">
        <f t="shared" si="192"/>
        <v>46022</v>
      </c>
      <c r="G278" s="235">
        <f t="shared" si="192"/>
        <v>46387</v>
      </c>
      <c r="H278" s="235">
        <f t="shared" si="192"/>
        <v>46752</v>
      </c>
      <c r="I278" s="235">
        <f t="shared" si="192"/>
        <v>47118</v>
      </c>
      <c r="J278" s="235">
        <f t="shared" si="192"/>
        <v>47483</v>
      </c>
      <c r="K278" s="235">
        <f t="shared" si="192"/>
        <v>47848</v>
      </c>
    </row>
    <row r="279" spans="3:11" x14ac:dyDescent="0.25">
      <c r="C279" s="246"/>
      <c r="D279" s="261"/>
      <c r="E279" s="247"/>
      <c r="F279" s="247"/>
      <c r="G279" s="247"/>
      <c r="H279" s="247"/>
      <c r="I279" s="247"/>
      <c r="J279" s="247"/>
      <c r="K279" s="247"/>
    </row>
    <row r="280" spans="3:11" x14ac:dyDescent="0.25">
      <c r="C280" s="6" t="s">
        <v>192</v>
      </c>
      <c r="D280" s="19"/>
      <c r="E280" s="188">
        <f>D283</f>
        <v>122057438</v>
      </c>
      <c r="F280" s="188">
        <f t="shared" ref="F280:G280" si="193">E283</f>
        <v>202114513</v>
      </c>
      <c r="G280" s="188">
        <f t="shared" si="193"/>
        <v>471665836</v>
      </c>
      <c r="H280" s="188">
        <f t="shared" ref="H280:K280" si="194">G283</f>
        <v>605480005.74568033</v>
      </c>
      <c r="I280" s="188">
        <f t="shared" si="194"/>
        <v>762030998.51711071</v>
      </c>
      <c r="J280" s="188">
        <f t="shared" si="194"/>
        <v>939120603.73890626</v>
      </c>
      <c r="K280" s="188">
        <f t="shared" si="194"/>
        <v>1133995879.8849919</v>
      </c>
    </row>
    <row r="281" spans="3:11" x14ac:dyDescent="0.25">
      <c r="C281" s="6" t="s">
        <v>187</v>
      </c>
      <c r="D281" s="243">
        <v>27323330</v>
      </c>
      <c r="E281" s="191">
        <v>69518836</v>
      </c>
      <c r="F281" s="191">
        <v>304365825</v>
      </c>
      <c r="G281" s="188">
        <f>G285*G16</f>
        <v>176835573.71218735</v>
      </c>
      <c r="H281" s="188">
        <f>H285*H16</f>
        <v>206882310.55472398</v>
      </c>
      <c r="I281" s="188">
        <f>I285*I16</f>
        <v>234024109.68418297</v>
      </c>
      <c r="J281" s="188">
        <f>J285*J16</f>
        <v>257527893.53405851</v>
      </c>
      <c r="K281" s="188">
        <f>K285*K16</f>
        <v>280269224.39554417</v>
      </c>
    </row>
    <row r="282" spans="3:11" x14ac:dyDescent="0.25">
      <c r="C282" s="6" t="s">
        <v>289</v>
      </c>
      <c r="D282" s="243">
        <v>21094430</v>
      </c>
      <c r="E282" s="191">
        <v>23078686</v>
      </c>
      <c r="F282" s="191">
        <v>35806909</v>
      </c>
      <c r="G282" s="188">
        <f>G286*G16</f>
        <v>43021403.966507003</v>
      </c>
      <c r="H282" s="188">
        <f>H286*H16</f>
        <v>50331317.783293575</v>
      </c>
      <c r="I282" s="188">
        <f>I286*I16</f>
        <v>56934504.46238748</v>
      </c>
      <c r="J282" s="188">
        <f>J286*J16</f>
        <v>62652617.387972824</v>
      </c>
      <c r="K282" s="188">
        <f>K286*K16</f>
        <v>68185237.104638696</v>
      </c>
    </row>
    <row r="283" spans="3:11" x14ac:dyDescent="0.25">
      <c r="C283" s="6" t="s">
        <v>193</v>
      </c>
      <c r="D283" s="19">
        <f>D67</f>
        <v>122057438</v>
      </c>
      <c r="E283" s="19">
        <f>E67</f>
        <v>202114513</v>
      </c>
      <c r="F283" s="19">
        <f>F67</f>
        <v>471665836</v>
      </c>
      <c r="G283" s="188">
        <f>G280+G281-G282</f>
        <v>605480005.74568033</v>
      </c>
      <c r="H283" s="188">
        <f t="shared" ref="H283:K283" si="195">H280+H281-H282</f>
        <v>762030998.51711071</v>
      </c>
      <c r="I283" s="188">
        <f t="shared" si="195"/>
        <v>939120603.73890626</v>
      </c>
      <c r="J283" s="188">
        <f t="shared" si="195"/>
        <v>1133995879.8849919</v>
      </c>
      <c r="K283" s="188">
        <f t="shared" si="195"/>
        <v>1346079867.1758976</v>
      </c>
    </row>
    <row r="284" spans="3:11" x14ac:dyDescent="0.25">
      <c r="D284" s="19"/>
      <c r="E284" s="19"/>
      <c r="F284" s="19"/>
      <c r="G284" s="188"/>
      <c r="H284" s="188"/>
      <c r="I284" s="188"/>
      <c r="J284" s="188"/>
      <c r="K284" s="188"/>
    </row>
    <row r="285" spans="3:11" x14ac:dyDescent="0.25">
      <c r="C285" s="6" t="s">
        <v>189</v>
      </c>
      <c r="D285" s="1">
        <f>D281/D16</f>
        <v>2.2532852264724196E-3</v>
      </c>
      <c r="E285" s="1">
        <f>E281/E16</f>
        <v>4.305492784398182E-3</v>
      </c>
      <c r="F285" s="1">
        <f>F281/F16</f>
        <v>1.4552463348600274E-2</v>
      </c>
      <c r="G285" s="215">
        <f>AVERAGE(D285:F285)</f>
        <v>7.0370804531569584E-3</v>
      </c>
      <c r="H285" s="215">
        <f t="shared" ref="H285:K285" si="196">G285</f>
        <v>7.0370804531569584E-3</v>
      </c>
      <c r="I285" s="215">
        <f t="shared" si="196"/>
        <v>7.0370804531569584E-3</v>
      </c>
      <c r="J285" s="215">
        <f t="shared" si="196"/>
        <v>7.0370804531569584E-3</v>
      </c>
      <c r="K285" s="215">
        <f t="shared" si="196"/>
        <v>7.0370804531569584E-3</v>
      </c>
    </row>
    <row r="286" spans="3:11" x14ac:dyDescent="0.25">
      <c r="C286" s="6" t="s">
        <v>290</v>
      </c>
      <c r="D286" s="1">
        <f>D282/D16</f>
        <v>1.7396037554667238E-3</v>
      </c>
      <c r="E286" s="1">
        <f t="shared" ref="E286:F286" si="197">E282/E16</f>
        <v>1.4293265216119462E-3</v>
      </c>
      <c r="F286" s="1">
        <f t="shared" si="197"/>
        <v>1.7120145826134234E-3</v>
      </c>
      <c r="G286" s="215">
        <f t="shared" ref="G286:K286" si="198">F286</f>
        <v>1.7120145826134234E-3</v>
      </c>
      <c r="H286" s="215">
        <f t="shared" si="198"/>
        <v>1.7120145826134234E-3</v>
      </c>
      <c r="I286" s="215">
        <f t="shared" si="198"/>
        <v>1.7120145826134234E-3</v>
      </c>
      <c r="J286" s="215">
        <f t="shared" si="198"/>
        <v>1.7120145826134234E-3</v>
      </c>
      <c r="K286" s="215">
        <f t="shared" si="198"/>
        <v>1.7120145826134234E-3</v>
      </c>
    </row>
    <row r="287" spans="3:11" x14ac:dyDescent="0.25">
      <c r="D287" s="19"/>
      <c r="E287" s="19"/>
      <c r="F287" s="19"/>
      <c r="G287" s="188"/>
      <c r="H287" s="188"/>
      <c r="I287" s="188"/>
      <c r="J287" s="188"/>
      <c r="K287" s="188"/>
    </row>
    <row r="288" spans="3:11" x14ac:dyDescent="0.25">
      <c r="C288" s="13" t="s">
        <v>191</v>
      </c>
    </row>
    <row r="289" spans="3:11" x14ac:dyDescent="0.25">
      <c r="C289" s="48" t="s">
        <v>42</v>
      </c>
      <c r="D289" s="49">
        <f t="shared" ref="D289:K289" si="199">D$13</f>
        <v>2023</v>
      </c>
      <c r="E289" s="49">
        <f t="shared" si="199"/>
        <v>2024</v>
      </c>
      <c r="F289" s="49">
        <f t="shared" si="199"/>
        <v>2025</v>
      </c>
      <c r="G289" s="50">
        <f t="shared" si="199"/>
        <v>2026</v>
      </c>
      <c r="H289" s="50">
        <f t="shared" si="199"/>
        <v>2027</v>
      </c>
      <c r="I289" s="50">
        <f t="shared" si="199"/>
        <v>2028</v>
      </c>
      <c r="J289" s="50">
        <f t="shared" si="199"/>
        <v>2029</v>
      </c>
      <c r="K289" s="50">
        <f t="shared" si="199"/>
        <v>2030</v>
      </c>
    </row>
    <row r="290" spans="3:11" x14ac:dyDescent="0.25">
      <c r="C290" s="43" t="s">
        <v>43</v>
      </c>
      <c r="D290" s="254">
        <f t="shared" ref="D290:K290" si="200">D$14</f>
        <v>45291</v>
      </c>
      <c r="E290" s="235">
        <f t="shared" si="200"/>
        <v>45657</v>
      </c>
      <c r="F290" s="235">
        <f t="shared" si="200"/>
        <v>46022</v>
      </c>
      <c r="G290" s="235">
        <f t="shared" si="200"/>
        <v>46387</v>
      </c>
      <c r="H290" s="235">
        <f t="shared" si="200"/>
        <v>46752</v>
      </c>
      <c r="I290" s="235">
        <f t="shared" si="200"/>
        <v>47118</v>
      </c>
      <c r="J290" s="235">
        <f t="shared" si="200"/>
        <v>47483</v>
      </c>
      <c r="K290" s="235">
        <f t="shared" si="200"/>
        <v>47848</v>
      </c>
    </row>
    <row r="291" spans="3:11" x14ac:dyDescent="0.25">
      <c r="D291" s="19"/>
      <c r="E291" s="19"/>
      <c r="F291" s="19"/>
      <c r="G291" s="188"/>
      <c r="H291" s="188"/>
      <c r="I291" s="188"/>
      <c r="J291" s="188"/>
      <c r="K291" s="188"/>
    </row>
    <row r="292" spans="3:11" x14ac:dyDescent="0.25">
      <c r="C292" s="6" t="s">
        <v>194</v>
      </c>
      <c r="E292" s="188">
        <f>D296</f>
        <v>143523557</v>
      </c>
      <c r="F292" s="188">
        <f t="shared" ref="F292:K292" si="201">E296</f>
        <v>238571891</v>
      </c>
      <c r="G292" s="188">
        <f t="shared" si="201"/>
        <v>529034928</v>
      </c>
      <c r="H292" s="188">
        <f t="shared" si="201"/>
        <v>691997009.84057283</v>
      </c>
      <c r="I292" s="188">
        <f t="shared" si="201"/>
        <v>882648536.09319019</v>
      </c>
      <c r="J292" s="188">
        <f t="shared" si="201"/>
        <v>1098312473.5828936</v>
      </c>
      <c r="K292" s="188">
        <f t="shared" si="201"/>
        <v>1335636224.575623</v>
      </c>
    </row>
    <row r="293" spans="3:11" x14ac:dyDescent="0.25">
      <c r="C293" s="6" t="s">
        <v>291</v>
      </c>
      <c r="D293" s="243">
        <v>27323330</v>
      </c>
      <c r="E293" s="191">
        <v>69518836</v>
      </c>
      <c r="F293" s="191">
        <v>304365825</v>
      </c>
      <c r="G293" s="188">
        <f>G299*G16</f>
        <v>176835573.71218735</v>
      </c>
      <c r="H293" s="188">
        <f>H299*H16</f>
        <v>206882310.55472398</v>
      </c>
      <c r="I293" s="188">
        <f>I299*I16</f>
        <v>234024109.68418297</v>
      </c>
      <c r="J293" s="188">
        <f>J299*J16</f>
        <v>257527893.53405851</v>
      </c>
      <c r="K293" s="188">
        <f>K299*K16</f>
        <v>280269224.39554417</v>
      </c>
    </row>
    <row r="294" spans="3:11" x14ac:dyDescent="0.25">
      <c r="C294" s="6" t="s">
        <v>295</v>
      </c>
      <c r="D294" s="191">
        <v>16113015</v>
      </c>
      <c r="E294" s="191">
        <v>25922858</v>
      </c>
      <c r="F294" s="191">
        <v>47898833</v>
      </c>
      <c r="G294" s="188">
        <f>G300*G16</f>
        <v>57549648.980236091</v>
      </c>
      <c r="H294" s="188">
        <f>H300*H16</f>
        <v>67328106.57216765</v>
      </c>
      <c r="I294" s="188">
        <f>I300*I16</f>
        <v>76161176.637214139</v>
      </c>
      <c r="J294" s="188">
        <f>J300*J16</f>
        <v>83810285.25191623</v>
      </c>
      <c r="K294" s="188">
        <f>K300*K16</f>
        <v>91211259.95936963</v>
      </c>
    </row>
    <row r="295" spans="3:11" x14ac:dyDescent="0.25">
      <c r="C295" s="6" t="s">
        <v>293</v>
      </c>
      <c r="D295" s="191">
        <v>30098582</v>
      </c>
      <c r="E295" s="191">
        <v>39424688</v>
      </c>
      <c r="F295" s="191">
        <v>59445803</v>
      </c>
      <c r="G295" s="188">
        <f>G301*G16</f>
        <v>71423140.851850525</v>
      </c>
      <c r="H295" s="188">
        <f>H301*H16</f>
        <v>83558890.874274194</v>
      </c>
      <c r="I295" s="188">
        <f>I301*I16</f>
        <v>94521348.831693545</v>
      </c>
      <c r="J295" s="188">
        <f>J301*J16</f>
        <v>104014427.79324535</v>
      </c>
      <c r="K295" s="188">
        <f>K301*K16</f>
        <v>113199555.21518604</v>
      </c>
    </row>
    <row r="296" spans="3:11" x14ac:dyDescent="0.25">
      <c r="C296" s="6" t="s">
        <v>195</v>
      </c>
      <c r="D296" s="19">
        <f>D84+D92</f>
        <v>143523557</v>
      </c>
      <c r="E296" s="19">
        <f>E84+E92</f>
        <v>238571891</v>
      </c>
      <c r="F296" s="19">
        <f>F84+F92</f>
        <v>529034928</v>
      </c>
      <c r="G296" s="188">
        <f>G292+G293+G294-G295</f>
        <v>691997009.84057283</v>
      </c>
      <c r="H296" s="188">
        <f t="shared" ref="H296:K296" si="202">H292+H293+H294-H295</f>
        <v>882648536.09319019</v>
      </c>
      <c r="I296" s="188">
        <f t="shared" si="202"/>
        <v>1098312473.5828936</v>
      </c>
      <c r="J296" s="188">
        <f t="shared" si="202"/>
        <v>1335636224.575623</v>
      </c>
      <c r="K296" s="188">
        <f t="shared" si="202"/>
        <v>1593917153.7153506</v>
      </c>
    </row>
    <row r="297" spans="3:11" x14ac:dyDescent="0.25">
      <c r="C297" s="6" t="s">
        <v>196</v>
      </c>
      <c r="D297" s="260">
        <f>D84/(D84+D92)</f>
        <v>7.5374030759285046E-2</v>
      </c>
      <c r="E297" s="260">
        <f>E84/(E84+E92)</f>
        <v>3.2923824206934758E-2</v>
      </c>
      <c r="F297" s="260">
        <f>F84/(F84+F92)</f>
        <v>3.0750164382341121E-2</v>
      </c>
      <c r="G297" s="212">
        <f>F297</f>
        <v>3.0750164382341121E-2</v>
      </c>
      <c r="H297" s="212">
        <f t="shared" ref="H297:K297" si="203">G297</f>
        <v>3.0750164382341121E-2</v>
      </c>
      <c r="I297" s="212">
        <f t="shared" si="203"/>
        <v>3.0750164382341121E-2</v>
      </c>
      <c r="J297" s="212">
        <f t="shared" si="203"/>
        <v>3.0750164382341121E-2</v>
      </c>
      <c r="K297" s="212">
        <f t="shared" si="203"/>
        <v>3.0750164382341121E-2</v>
      </c>
    </row>
    <row r="298" spans="3:11" x14ac:dyDescent="0.25">
      <c r="D298" s="260"/>
      <c r="E298" s="211"/>
      <c r="F298" s="211"/>
      <c r="G298" s="211"/>
      <c r="H298" s="211"/>
      <c r="I298" s="211"/>
      <c r="J298" s="211"/>
      <c r="K298" s="211"/>
    </row>
    <row r="299" spans="3:11" x14ac:dyDescent="0.25">
      <c r="C299" s="6" t="s">
        <v>292</v>
      </c>
      <c r="D299" s="22">
        <f>D293/D16</f>
        <v>2.2532852264724196E-3</v>
      </c>
      <c r="E299" s="22">
        <f>E293/E16</f>
        <v>4.305492784398182E-3</v>
      </c>
      <c r="F299" s="22">
        <f>F293/F16</f>
        <v>1.4552463348600274E-2</v>
      </c>
      <c r="G299" s="215">
        <f>AVERAGE(D299:F299)</f>
        <v>7.0370804531569584E-3</v>
      </c>
      <c r="H299" s="215">
        <f t="shared" ref="H299" si="204">G299</f>
        <v>7.0370804531569584E-3</v>
      </c>
      <c r="I299" s="215">
        <f t="shared" ref="I299" si="205">H299</f>
        <v>7.0370804531569584E-3</v>
      </c>
      <c r="J299" s="215">
        <f t="shared" ref="J299" si="206">I299</f>
        <v>7.0370804531569584E-3</v>
      </c>
      <c r="K299" s="215">
        <f t="shared" ref="K299" si="207">J299</f>
        <v>7.0370804531569584E-3</v>
      </c>
    </row>
    <row r="300" spans="3:11" x14ac:dyDescent="0.25">
      <c r="C300" s="6" t="s">
        <v>296</v>
      </c>
      <c r="D300" s="22">
        <f>D294/D16</f>
        <v>1.3287991856566711E-3</v>
      </c>
      <c r="E300" s="22">
        <f>E294/E16</f>
        <v>1.6054739188955736E-3</v>
      </c>
      <c r="F300" s="22">
        <f>F294/F16</f>
        <v>2.2901586000111059E-3</v>
      </c>
      <c r="G300" s="215">
        <f>F300</f>
        <v>2.2901586000111059E-3</v>
      </c>
      <c r="H300" s="215">
        <f t="shared" ref="H300:H301" si="208">G300</f>
        <v>2.2901586000111059E-3</v>
      </c>
      <c r="I300" s="215">
        <f t="shared" ref="I300:I301" si="209">H300</f>
        <v>2.2901586000111059E-3</v>
      </c>
      <c r="J300" s="215">
        <f t="shared" ref="J300:J301" si="210">I300</f>
        <v>2.2901586000111059E-3</v>
      </c>
      <c r="K300" s="215">
        <f t="shared" ref="K300:K301" si="211">J300</f>
        <v>2.2901586000111059E-3</v>
      </c>
    </row>
    <row r="301" spans="3:11" x14ac:dyDescent="0.25">
      <c r="C301" s="6" t="s">
        <v>294</v>
      </c>
      <c r="D301" s="22">
        <f>D295/D16</f>
        <v>2.4821531694112207E-3</v>
      </c>
      <c r="E301" s="22">
        <f>E295/E16</f>
        <v>2.4416793991077412E-3</v>
      </c>
      <c r="F301" s="22">
        <f>F295/F16</f>
        <v>2.8422470538064259E-3</v>
      </c>
      <c r="G301" s="215">
        <f t="shared" ref="G301" si="212">F301</f>
        <v>2.8422470538064259E-3</v>
      </c>
      <c r="H301" s="215">
        <f t="shared" si="208"/>
        <v>2.8422470538064259E-3</v>
      </c>
      <c r="I301" s="215">
        <f t="shared" si="209"/>
        <v>2.8422470538064259E-3</v>
      </c>
      <c r="J301" s="215">
        <f t="shared" si="210"/>
        <v>2.8422470538064259E-3</v>
      </c>
      <c r="K301" s="215">
        <f t="shared" si="211"/>
        <v>2.8422470538064259E-3</v>
      </c>
    </row>
    <row r="303" spans="3:11" x14ac:dyDescent="0.25">
      <c r="C303" s="13" t="s">
        <v>206</v>
      </c>
    </row>
    <row r="304" spans="3:11" x14ac:dyDescent="0.25">
      <c r="C304" s="48" t="s">
        <v>42</v>
      </c>
      <c r="D304" s="49">
        <f t="shared" ref="D304:K304" si="213">D$13</f>
        <v>2023</v>
      </c>
      <c r="E304" s="49">
        <f t="shared" si="213"/>
        <v>2024</v>
      </c>
      <c r="F304" s="49">
        <f t="shared" si="213"/>
        <v>2025</v>
      </c>
      <c r="G304" s="50">
        <f t="shared" si="213"/>
        <v>2026</v>
      </c>
      <c r="H304" s="50">
        <f t="shared" si="213"/>
        <v>2027</v>
      </c>
      <c r="I304" s="50">
        <f t="shared" si="213"/>
        <v>2028</v>
      </c>
      <c r="J304" s="50">
        <f t="shared" si="213"/>
        <v>2029</v>
      </c>
      <c r="K304" s="50">
        <f t="shared" si="213"/>
        <v>2030</v>
      </c>
    </row>
    <row r="305" spans="3:11" x14ac:dyDescent="0.25">
      <c r="C305" s="43" t="s">
        <v>43</v>
      </c>
      <c r="D305" s="254">
        <f t="shared" ref="D305:K305" si="214">D$14</f>
        <v>45291</v>
      </c>
      <c r="E305" s="235">
        <f t="shared" si="214"/>
        <v>45657</v>
      </c>
      <c r="F305" s="235">
        <f t="shared" si="214"/>
        <v>46022</v>
      </c>
      <c r="G305" s="235">
        <f t="shared" si="214"/>
        <v>46387</v>
      </c>
      <c r="H305" s="235">
        <f t="shared" si="214"/>
        <v>46752</v>
      </c>
      <c r="I305" s="235">
        <f t="shared" si="214"/>
        <v>47118</v>
      </c>
      <c r="J305" s="235">
        <f t="shared" si="214"/>
        <v>47483</v>
      </c>
      <c r="K305" s="235">
        <f t="shared" si="214"/>
        <v>47848</v>
      </c>
    </row>
    <row r="307" spans="3:11" x14ac:dyDescent="0.25">
      <c r="C307" s="6" t="s">
        <v>32</v>
      </c>
      <c r="D307" s="19"/>
      <c r="E307" s="188">
        <f>D310</f>
        <v>55143601</v>
      </c>
      <c r="F307" s="188">
        <f t="shared" ref="F307:G307" si="215">E310</f>
        <v>75262582</v>
      </c>
      <c r="G307" s="188">
        <f t="shared" si="215"/>
        <v>114366146</v>
      </c>
      <c r="H307" s="188">
        <f t="shared" ref="H307:K307" si="216">G310</f>
        <v>157963892.11466682</v>
      </c>
      <c r="I307" s="188">
        <f t="shared" si="216"/>
        <v>207036248.04780671</v>
      </c>
      <c r="J307" s="188">
        <f t="shared" si="216"/>
        <v>260278751.60355911</v>
      </c>
      <c r="K307" s="188">
        <f t="shared" si="216"/>
        <v>316272633.01762956</v>
      </c>
    </row>
    <row r="308" spans="3:11" x14ac:dyDescent="0.25">
      <c r="C308" s="6" t="s">
        <v>198</v>
      </c>
      <c r="D308" s="243">
        <v>18535914</v>
      </c>
      <c r="E308" s="191">
        <v>23800197</v>
      </c>
      <c r="F308" s="191">
        <v>43901598</v>
      </c>
      <c r="G308" s="188">
        <f>G312*G16</f>
        <v>52747037.794666842</v>
      </c>
      <c r="H308" s="188">
        <f t="shared" ref="H308:K308" si="217">H312*H16</f>
        <v>61709467.302313246</v>
      </c>
      <c r="I308" s="188">
        <f t="shared" si="217"/>
        <v>69805403.399576917</v>
      </c>
      <c r="J308" s="188">
        <f t="shared" si="217"/>
        <v>76816181.542355224</v>
      </c>
      <c r="K308" s="188">
        <f t="shared" si="217"/>
        <v>83599532.953334004</v>
      </c>
    </row>
    <row r="309" spans="3:11" x14ac:dyDescent="0.25">
      <c r="C309" s="6" t="s">
        <v>220</v>
      </c>
      <c r="D309" s="243">
        <v>740128</v>
      </c>
      <c r="E309" s="191">
        <v>1859182</v>
      </c>
      <c r="F309" s="191">
        <v>8443305</v>
      </c>
      <c r="G309" s="188">
        <f>G307*G313</f>
        <v>9149291.6799999997</v>
      </c>
      <c r="H309" s="188">
        <f t="shared" ref="H309:K309" si="218">H307*H313</f>
        <v>12637111.369173346</v>
      </c>
      <c r="I309" s="188">
        <f t="shared" si="218"/>
        <v>16562899.843824537</v>
      </c>
      <c r="J309" s="188">
        <f t="shared" si="218"/>
        <v>20822300.12828473</v>
      </c>
      <c r="K309" s="188">
        <f t="shared" si="218"/>
        <v>25301810.641410366</v>
      </c>
    </row>
    <row r="310" spans="3:11" x14ac:dyDescent="0.25">
      <c r="C310" s="6" t="s">
        <v>35</v>
      </c>
      <c r="D310" s="19">
        <f>D90</f>
        <v>55143601</v>
      </c>
      <c r="E310" s="19">
        <f>E90</f>
        <v>75262582</v>
      </c>
      <c r="F310" s="19">
        <f>F90</f>
        <v>114366146</v>
      </c>
      <c r="G310" s="188">
        <f>G307+G308-G309</f>
        <v>157963892.11466682</v>
      </c>
      <c r="H310" s="188">
        <f t="shared" ref="H310:K310" si="219">H307+H308-H309</f>
        <v>207036248.04780671</v>
      </c>
      <c r="I310" s="188">
        <f t="shared" si="219"/>
        <v>260278751.60355911</v>
      </c>
      <c r="J310" s="188">
        <f t="shared" si="219"/>
        <v>316272633.01762956</v>
      </c>
      <c r="K310" s="188">
        <f t="shared" si="219"/>
        <v>374570355.32955325</v>
      </c>
    </row>
    <row r="312" spans="3:11" x14ac:dyDescent="0.25">
      <c r="C312" s="6" t="s">
        <v>300</v>
      </c>
      <c r="D312" s="22">
        <f>D308/D16</f>
        <v>1.5286094767864419E-3</v>
      </c>
      <c r="E312" s="22">
        <f t="shared" ref="E312:F312" si="220">E308/E16</f>
        <v>1.4740116829740253E-3</v>
      </c>
      <c r="F312" s="22">
        <f t="shared" si="220"/>
        <v>2.0990411648219151E-3</v>
      </c>
      <c r="G312" s="215">
        <f>F312</f>
        <v>2.0990411648219151E-3</v>
      </c>
      <c r="H312" s="215">
        <f t="shared" ref="H312:K312" si="221">G312</f>
        <v>2.0990411648219151E-3</v>
      </c>
      <c r="I312" s="215">
        <f t="shared" si="221"/>
        <v>2.0990411648219151E-3</v>
      </c>
      <c r="J312" s="215">
        <f t="shared" si="221"/>
        <v>2.0990411648219151E-3</v>
      </c>
      <c r="K312" s="215">
        <f t="shared" si="221"/>
        <v>2.0990411648219151E-3</v>
      </c>
    </row>
    <row r="313" spans="3:11" x14ac:dyDescent="0.25">
      <c r="C313" s="6" t="s">
        <v>199</v>
      </c>
      <c r="D313" s="260">
        <f>D309/33396656</f>
        <v>2.2161739786163023E-2</v>
      </c>
      <c r="E313" s="260">
        <f>E309/E307</f>
        <v>3.3715280944383738E-2</v>
      </c>
      <c r="F313" s="260">
        <f t="shared" ref="F313" si="222">F309/F307</f>
        <v>0.1121846311358279</v>
      </c>
      <c r="G313" s="215">
        <v>0.08</v>
      </c>
      <c r="H313" s="215">
        <f>G313</f>
        <v>0.08</v>
      </c>
      <c r="I313" s="215">
        <f t="shared" ref="I313:K313" si="223">H313</f>
        <v>0.08</v>
      </c>
      <c r="J313" s="215">
        <f t="shared" si="223"/>
        <v>0.08</v>
      </c>
      <c r="K313" s="215">
        <f t="shared" si="223"/>
        <v>0.08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FB8B-B60E-497E-A730-4D15A5E1DAC7}">
  <dimension ref="B1:Q132"/>
  <sheetViews>
    <sheetView showGridLines="0" topLeftCell="A42" zoomScale="85" zoomScaleNormal="85" workbookViewId="0">
      <selection activeCell="H5" sqref="H5"/>
    </sheetView>
  </sheetViews>
  <sheetFormatPr defaultColWidth="9.140625" defaultRowHeight="15" x14ac:dyDescent="0.25"/>
  <cols>
    <col min="1" max="1" width="1.42578125" style="51" customWidth="1"/>
    <col min="2" max="2" width="54.42578125" style="51" customWidth="1"/>
    <col min="3" max="3" width="16.7109375" style="51" customWidth="1"/>
    <col min="4" max="4" width="15.5703125" style="51" bestFit="1" customWidth="1"/>
    <col min="5" max="9" width="16.42578125" style="51" customWidth="1"/>
    <col min="10" max="10" width="1.7109375" style="51" customWidth="1"/>
    <col min="11" max="11" width="12.140625" style="51" bestFit="1" customWidth="1"/>
    <col min="12" max="16" width="9.42578125" style="51" customWidth="1"/>
    <col min="17" max="16384" width="9.140625" style="51"/>
  </cols>
  <sheetData>
    <row r="1" spans="2:10" ht="15.75" thickBot="1" x14ac:dyDescent="0.3"/>
    <row r="2" spans="2:10" ht="15.75" thickBot="1" x14ac:dyDescent="0.3">
      <c r="B2" s="52" t="s">
        <v>46</v>
      </c>
      <c r="C2" s="53"/>
      <c r="D2" s="53"/>
      <c r="E2" s="53"/>
      <c r="F2" s="53"/>
      <c r="G2" s="53"/>
      <c r="H2" s="53"/>
      <c r="I2" s="53"/>
    </row>
    <row r="3" spans="2:10" x14ac:dyDescent="0.25">
      <c r="B3" s="187" t="str">
        <f>FSM!C3</f>
        <v>All amounts are shown in EGP, except per-share data, ratios, and shares outstanding</v>
      </c>
    </row>
    <row r="4" spans="2:10" x14ac:dyDescent="0.25">
      <c r="B4" s="51" t="s">
        <v>47</v>
      </c>
      <c r="C4" s="55"/>
      <c r="D4" s="55">
        <v>46022</v>
      </c>
      <c r="F4" s="51" t="s">
        <v>48</v>
      </c>
      <c r="H4" s="56">
        <f>+WACC!E21</f>
        <v>0.20142843872953312</v>
      </c>
      <c r="I4" s="51" t="s">
        <v>49</v>
      </c>
    </row>
    <row r="5" spans="2:10" x14ac:dyDescent="0.25">
      <c r="B5" s="51" t="s">
        <v>50</v>
      </c>
      <c r="C5" s="57"/>
      <c r="D5" s="57">
        <f>EOMONTH(D4,12)</f>
        <v>46387</v>
      </c>
      <c r="F5" s="51" t="s">
        <v>51</v>
      </c>
      <c r="H5" s="263">
        <v>28.8</v>
      </c>
    </row>
    <row r="6" spans="2:10" x14ac:dyDescent="0.25">
      <c r="B6" s="51" t="s">
        <v>52</v>
      </c>
      <c r="C6" s="55"/>
      <c r="D6" s="55">
        <v>46022</v>
      </c>
      <c r="F6" s="51" t="s">
        <v>53</v>
      </c>
      <c r="H6" s="58">
        <v>46188</v>
      </c>
      <c r="J6" s="59"/>
    </row>
    <row r="7" spans="2:10" x14ac:dyDescent="0.25">
      <c r="B7" s="51" t="s">
        <v>54</v>
      </c>
      <c r="C7" s="55"/>
      <c r="D7" s="55">
        <v>46189</v>
      </c>
      <c r="E7" s="59"/>
      <c r="F7" s="217" t="s">
        <v>150</v>
      </c>
      <c r="G7" s="59"/>
      <c r="H7" s="265">
        <f>C73</f>
        <v>23.133738148205197</v>
      </c>
    </row>
    <row r="8" spans="2:10" x14ac:dyDescent="0.25">
      <c r="B8" s="51" t="s">
        <v>55</v>
      </c>
      <c r="C8" s="138"/>
      <c r="D8" s="138">
        <f>YEARFRAC(D7,D5)</f>
        <v>0.54166666666666663</v>
      </c>
      <c r="F8" s="217" t="s">
        <v>151</v>
      </c>
      <c r="H8" s="211">
        <f>H7/H5-1</f>
        <v>-0.19674520318731958</v>
      </c>
    </row>
    <row r="9" spans="2:10" x14ac:dyDescent="0.25">
      <c r="D9" s="61"/>
      <c r="F9" t="s">
        <v>182</v>
      </c>
      <c r="G9"/>
      <c r="H9" s="250">
        <v>1</v>
      </c>
    </row>
    <row r="10" spans="2:10" x14ac:dyDescent="0.25">
      <c r="B10" s="62" t="s">
        <v>56</v>
      </c>
      <c r="C10" s="63"/>
      <c r="D10" s="64"/>
      <c r="F10" s="63"/>
      <c r="G10" s="63"/>
      <c r="H10" s="63"/>
      <c r="I10" s="63"/>
    </row>
    <row r="11" spans="2:10" ht="17.25" customHeight="1" x14ac:dyDescent="0.4">
      <c r="C11" s="65" t="s">
        <v>57</v>
      </c>
      <c r="D11" s="65" t="s">
        <v>58</v>
      </c>
      <c r="E11" s="66" t="s">
        <v>59</v>
      </c>
      <c r="F11" s="65"/>
      <c r="G11" s="65"/>
      <c r="H11" s="65"/>
      <c r="I11" s="65"/>
    </row>
    <row r="12" spans="2:10" x14ac:dyDescent="0.25">
      <c r="B12" s="67" t="s">
        <v>60</v>
      </c>
      <c r="C12" s="68">
        <f>D7</f>
        <v>46189</v>
      </c>
      <c r="D12" s="236">
        <f>D4</f>
        <v>46022</v>
      </c>
      <c r="E12" s="236">
        <f>EOMONTH(D12,12)</f>
        <v>46387</v>
      </c>
      <c r="F12" s="236">
        <f>EOMONTH(E12,12)</f>
        <v>46752</v>
      </c>
      <c r="G12" s="236">
        <f t="shared" ref="G12:I12" si="0">EOMONTH(F12,12)</f>
        <v>47118</v>
      </c>
      <c r="H12" s="236">
        <f t="shared" si="0"/>
        <v>47483</v>
      </c>
      <c r="I12" s="236">
        <f t="shared" si="0"/>
        <v>47848</v>
      </c>
    </row>
    <row r="13" spans="2:10" x14ac:dyDescent="0.25">
      <c r="B13" s="67"/>
      <c r="D13" s="179"/>
      <c r="E13" s="186"/>
      <c r="F13" s="186"/>
      <c r="G13" s="186"/>
      <c r="H13" s="186"/>
      <c r="I13" s="185"/>
    </row>
    <row r="14" spans="2:10" x14ac:dyDescent="0.25">
      <c r="B14" s="51" t="s">
        <v>61</v>
      </c>
      <c r="C14" s="158">
        <f>E14*(1-$D$8)+D14*$D$8</f>
        <v>22846506638.166664</v>
      </c>
      <c r="D14" s="180">
        <f>FSM!F16</f>
        <v>20915072432</v>
      </c>
      <c r="E14" s="180">
        <f>FSM!G16</f>
        <v>25129110699.999996</v>
      </c>
      <c r="F14" s="180">
        <f>FSM!H16</f>
        <v>29398883802.999996</v>
      </c>
      <c r="G14" s="180">
        <f>FSM!I16</f>
        <v>33255852514.688194</v>
      </c>
      <c r="H14" s="180">
        <f>FSM!J16</f>
        <v>36595843297.276352</v>
      </c>
      <c r="I14" s="180">
        <f>FSM!K16</f>
        <v>39827486165.773544</v>
      </c>
    </row>
    <row r="15" spans="2:10" x14ac:dyDescent="0.25">
      <c r="B15" s="71" t="s">
        <v>40</v>
      </c>
      <c r="C15"/>
      <c r="D15" s="181"/>
      <c r="E15" s="181">
        <f>E14/D14-1</f>
        <v>0.20148332173846684</v>
      </c>
      <c r="F15" s="181">
        <f t="shared" ref="F15:I15" si="1">F14/E14-1</f>
        <v>0.16991341850390285</v>
      </c>
      <c r="G15" s="181">
        <f t="shared" si="1"/>
        <v>0.13119439287333123</v>
      </c>
      <c r="H15" s="181">
        <f t="shared" si="1"/>
        <v>0.10043317281110076</v>
      </c>
      <c r="I15" s="181">
        <f t="shared" si="1"/>
        <v>8.8306282280362414E-2</v>
      </c>
    </row>
    <row r="16" spans="2:10" x14ac:dyDescent="0.25">
      <c r="B16" s="51" t="s">
        <v>24</v>
      </c>
      <c r="C16" s="158">
        <f>E16*(1-$D$8)+D16*$D$8</f>
        <v>4630245422.1266003</v>
      </c>
      <c r="D16" s="180">
        <f>FSM!F36</f>
        <v>4218459783</v>
      </c>
      <c r="E16" s="180">
        <f>FSM!G36</f>
        <v>5116901177.4580374</v>
      </c>
      <c r="F16" s="180">
        <f>FSM!H36</f>
        <v>6045129116.2725773</v>
      </c>
      <c r="G16" s="180">
        <f>FSM!I36</f>
        <v>6904727865.5522318</v>
      </c>
      <c r="H16" s="180">
        <f>FSM!J36</f>
        <v>7671383279.0814114</v>
      </c>
      <c r="I16" s="180">
        <f>FSM!K36</f>
        <v>8428469588.7363758</v>
      </c>
    </row>
    <row r="17" spans="2:13" x14ac:dyDescent="0.25">
      <c r="B17" s="71" t="s">
        <v>62</v>
      </c>
      <c r="C17"/>
      <c r="D17" s="181">
        <f>D16/D14</f>
        <v>0.20169472502259991</v>
      </c>
      <c r="E17" s="181">
        <f t="shared" ref="E17:I17" si="2">E16/E14</f>
        <v>0.20362444332174628</v>
      </c>
      <c r="F17" s="181">
        <f t="shared" si="2"/>
        <v>0.20562444332174629</v>
      </c>
      <c r="G17" s="181">
        <f t="shared" si="2"/>
        <v>0.20762444332174626</v>
      </c>
      <c r="H17" s="181">
        <f t="shared" si="2"/>
        <v>0.20962444332174618</v>
      </c>
      <c r="I17" s="181">
        <f t="shared" si="2"/>
        <v>0.21162444332174624</v>
      </c>
    </row>
    <row r="18" spans="2:13" x14ac:dyDescent="0.25">
      <c r="B18" s="51" t="s">
        <v>63</v>
      </c>
      <c r="C18" s="158">
        <f>E18*(1-$D$8)+D18*$D$8</f>
        <v>4108129817.1913881</v>
      </c>
      <c r="D18" s="180">
        <f>FSM!F26</f>
        <v>3740483615</v>
      </c>
      <c r="E18" s="180">
        <f>FSM!G26</f>
        <v>4542620783.4175739</v>
      </c>
      <c r="F18" s="180">
        <f>FSM!H26</f>
        <v>5373270777.30093</v>
      </c>
      <c r="G18" s="180">
        <f>FSM!I26</f>
        <v>6144725479.7023144</v>
      </c>
      <c r="H18" s="180">
        <f>FSM!J26</f>
        <v>6835051442.2765808</v>
      </c>
      <c r="I18" s="180">
        <f>FSM!K26</f>
        <v>7518284396.6706038</v>
      </c>
    </row>
    <row r="19" spans="2:13" x14ac:dyDescent="0.25">
      <c r="B19" s="71" t="s">
        <v>62</v>
      </c>
      <c r="D19" s="181">
        <f>D18/D14</f>
        <v>0.17884153292613372</v>
      </c>
      <c r="E19" s="181">
        <f t="shared" ref="E19:I19" si="3">E18/E14</f>
        <v>0.18077125122528012</v>
      </c>
      <c r="F19" s="181">
        <f t="shared" si="3"/>
        <v>0.1827712512252801</v>
      </c>
      <c r="G19" s="181">
        <f t="shared" si="3"/>
        <v>0.18477125122528007</v>
      </c>
      <c r="H19" s="181">
        <f t="shared" si="3"/>
        <v>0.18677125122528002</v>
      </c>
      <c r="I19" s="181">
        <f t="shared" si="3"/>
        <v>0.18877125122528005</v>
      </c>
    </row>
    <row r="20" spans="2:13" x14ac:dyDescent="0.25">
      <c r="B20" s="71"/>
      <c r="D20" s="180"/>
      <c r="E20" s="180"/>
      <c r="F20" s="180"/>
      <c r="G20" s="180"/>
      <c r="H20" s="180"/>
      <c r="I20" s="180"/>
    </row>
    <row r="21" spans="2:13" x14ac:dyDescent="0.25">
      <c r="B21" s="51" t="s">
        <v>64</v>
      </c>
      <c r="D21" s="182">
        <f>D18*D22</f>
        <v>1018514436.7194726</v>
      </c>
      <c r="E21" s="182">
        <f t="shared" ref="E21:I21" si="4">E18*E22</f>
        <v>1022089676.2689542</v>
      </c>
      <c r="F21" s="182">
        <f t="shared" si="4"/>
        <v>1208985924.8927093</v>
      </c>
      <c r="G21" s="182">
        <f t="shared" si="4"/>
        <v>1382563232.9330208</v>
      </c>
      <c r="H21" s="182">
        <f t="shared" si="4"/>
        <v>1537886574.5122306</v>
      </c>
      <c r="I21" s="182">
        <f t="shared" si="4"/>
        <v>1691613989.250886</v>
      </c>
    </row>
    <row r="22" spans="2:13" ht="15" customHeight="1" x14ac:dyDescent="0.25">
      <c r="B22" s="71" t="s">
        <v>26</v>
      </c>
      <c r="D22" s="183">
        <f>-FSM!F48</f>
        <v>0.27229485316686053</v>
      </c>
      <c r="E22" s="183">
        <f>-FSM!G48</f>
        <v>0.22500000000000001</v>
      </c>
      <c r="F22" s="183">
        <f>-FSM!H48</f>
        <v>0.22500000000000001</v>
      </c>
      <c r="G22" s="183">
        <f>-FSM!I48</f>
        <v>0.22500000000000001</v>
      </c>
      <c r="H22" s="183">
        <f>-FSM!J48</f>
        <v>0.22500000000000001</v>
      </c>
      <c r="I22" s="183">
        <f>-FSM!K48</f>
        <v>0.22500000000000001</v>
      </c>
    </row>
    <row r="23" spans="2:13" x14ac:dyDescent="0.25">
      <c r="B23" s="72" t="s">
        <v>65</v>
      </c>
      <c r="C23" s="72"/>
      <c r="D23" s="184">
        <f>D18*(1-D22)</f>
        <v>2721969178.2805271</v>
      </c>
      <c r="E23" s="184">
        <f t="shared" ref="E23:I23" si="5">E18*(1-E22)</f>
        <v>3520531107.1486201</v>
      </c>
      <c r="F23" s="184">
        <f t="shared" si="5"/>
        <v>4164284852.4082208</v>
      </c>
      <c r="G23" s="184">
        <f t="shared" si="5"/>
        <v>4762162246.7692938</v>
      </c>
      <c r="H23" s="184">
        <f t="shared" si="5"/>
        <v>5297164867.7643499</v>
      </c>
      <c r="I23" s="184">
        <f t="shared" si="5"/>
        <v>5826670407.4197178</v>
      </c>
    </row>
    <row r="24" spans="2:13" x14ac:dyDescent="0.25">
      <c r="D24" s="69"/>
      <c r="E24" s="69"/>
      <c r="F24" s="69"/>
      <c r="G24" s="69"/>
      <c r="H24" s="69"/>
      <c r="I24" s="69"/>
    </row>
    <row r="25" spans="2:13" x14ac:dyDescent="0.25">
      <c r="B25" s="51" t="s">
        <v>23</v>
      </c>
      <c r="D25" s="70"/>
      <c r="E25" s="70">
        <f>FSM!G172</f>
        <v>574280394.04046357</v>
      </c>
      <c r="F25" s="70">
        <f>FSM!H172</f>
        <v>671858338.97164702</v>
      </c>
      <c r="G25" s="70">
        <f>FSM!I172</f>
        <v>760002385.84991705</v>
      </c>
      <c r="H25" s="70">
        <f>FSM!J172</f>
        <v>836331836.80483055</v>
      </c>
      <c r="I25" s="70">
        <f>FSM!K172</f>
        <v>910185192.06577194</v>
      </c>
      <c r="M25" s="74"/>
    </row>
    <row r="26" spans="2:13" x14ac:dyDescent="0.25">
      <c r="B26" s="51" t="s">
        <v>66</v>
      </c>
      <c r="D26" s="69"/>
      <c r="E26" s="69">
        <f>D32-E32</f>
        <v>-192667128.7217803</v>
      </c>
      <c r="F26" s="69">
        <f t="shared" ref="F26:I26" si="6">E32-F32</f>
        <v>-194338903.70197439</v>
      </c>
      <c r="G26" s="69">
        <f t="shared" si="6"/>
        <v>-174422802.22900391</v>
      </c>
      <c r="H26" s="69">
        <f t="shared" si="6"/>
        <v>-149854263.89171791</v>
      </c>
      <c r="I26" s="69">
        <f t="shared" si="6"/>
        <v>-144176069.71127605</v>
      </c>
      <c r="M26" s="74"/>
    </row>
    <row r="27" spans="2:13" x14ac:dyDescent="0.25">
      <c r="B27" s="51" t="s">
        <v>67</v>
      </c>
      <c r="D27" s="70"/>
      <c r="E27" s="70">
        <f>-FSM!G161</f>
        <v>-1426958478.0161998</v>
      </c>
      <c r="F27" s="70">
        <f>-FSM!H161</f>
        <v>-1669417871.0790586</v>
      </c>
      <c r="G27" s="70">
        <f>-FSM!I161</f>
        <v>-1888436135.1271651</v>
      </c>
      <c r="H27" s="70">
        <f>-FSM!J161</f>
        <v>-2078097767.8291187</v>
      </c>
      <c r="I27" s="70">
        <f>-FSM!K161</f>
        <v>-2261606855.9212279</v>
      </c>
      <c r="M27" s="74"/>
    </row>
    <row r="28" spans="2:13" x14ac:dyDescent="0.25">
      <c r="B28" s="71" t="s">
        <v>38</v>
      </c>
      <c r="D28" s="1"/>
      <c r="E28" s="1">
        <f>E27/E14</f>
        <v>-5.6785076680656271E-2</v>
      </c>
      <c r="F28" s="1">
        <f t="shared" ref="F28:I28" si="7">F27/F14</f>
        <v>-5.6785076680656278E-2</v>
      </c>
      <c r="G28" s="1">
        <f t="shared" si="7"/>
        <v>-5.6785076680656278E-2</v>
      </c>
      <c r="H28" s="1">
        <f t="shared" si="7"/>
        <v>-5.6785076680656278E-2</v>
      </c>
      <c r="I28" s="1">
        <f t="shared" si="7"/>
        <v>-5.6785076680656278E-2</v>
      </c>
      <c r="M28" s="74"/>
    </row>
    <row r="29" spans="2:13" x14ac:dyDescent="0.25">
      <c r="B29" s="217"/>
      <c r="D29" s="70"/>
      <c r="E29" s="70"/>
      <c r="F29" s="70"/>
      <c r="G29" s="70"/>
      <c r="H29" s="70"/>
      <c r="I29" s="70"/>
      <c r="M29" s="74"/>
    </row>
    <row r="30" spans="2:13" x14ac:dyDescent="0.25">
      <c r="B30" s="72" t="s">
        <v>68</v>
      </c>
      <c r="C30" s="72"/>
      <c r="D30" s="73"/>
      <c r="E30" s="73">
        <f>E23+E25+E26+E27</f>
        <v>2475185894.4511032</v>
      </c>
      <c r="F30" s="73">
        <f t="shared" ref="F30:I30" si="8">F23+F25+F26+F27</f>
        <v>2972386416.598834</v>
      </c>
      <c r="G30" s="73">
        <f t="shared" si="8"/>
        <v>3459305695.2630424</v>
      </c>
      <c r="H30" s="73">
        <f t="shared" si="8"/>
        <v>3905544672.8483438</v>
      </c>
      <c r="I30" s="73">
        <f t="shared" si="8"/>
        <v>4331072673.8529854</v>
      </c>
      <c r="M30" s="73"/>
    </row>
    <row r="31" spans="2:13" x14ac:dyDescent="0.25">
      <c r="D31" s="70"/>
      <c r="E31" s="70"/>
      <c r="F31" s="70"/>
      <c r="G31" s="70"/>
      <c r="H31" s="70"/>
      <c r="I31" s="70"/>
      <c r="M31" s="74"/>
    </row>
    <row r="32" spans="2:13" x14ac:dyDescent="0.25">
      <c r="B32" s="51" t="s">
        <v>69</v>
      </c>
      <c r="C32" s="70"/>
      <c r="D32" s="70">
        <f>FSM!F216</f>
        <v>969562363</v>
      </c>
      <c r="E32" s="70">
        <f>FSM!G216</f>
        <v>1162229491.7217803</v>
      </c>
      <c r="F32" s="70">
        <f>FSM!H216</f>
        <v>1356568395.4237547</v>
      </c>
      <c r="G32" s="70">
        <f>FSM!I216</f>
        <v>1530991197.6527586</v>
      </c>
      <c r="H32" s="70">
        <f>FSM!J216</f>
        <v>1680845461.5444765</v>
      </c>
      <c r="I32" s="70">
        <f>FSM!K216</f>
        <v>1825021531.2557526</v>
      </c>
    </row>
    <row r="33" spans="2:13" x14ac:dyDescent="0.25">
      <c r="B33" s="71" t="s">
        <v>38</v>
      </c>
      <c r="D33" s="60">
        <f>D32/D14</f>
        <v>4.6357112372060083E-2</v>
      </c>
      <c r="E33" s="60">
        <f t="shared" ref="E33:I33" si="9">E32/E14</f>
        <v>4.6250323204703798E-2</v>
      </c>
      <c r="F33" s="60">
        <f t="shared" si="9"/>
        <v>4.6143534037347507E-2</v>
      </c>
      <c r="G33" s="60">
        <f t="shared" si="9"/>
        <v>4.6036744869991285E-2</v>
      </c>
      <c r="H33" s="60">
        <f t="shared" si="9"/>
        <v>4.5929955702635049E-2</v>
      </c>
      <c r="I33" s="60">
        <f t="shared" si="9"/>
        <v>4.5823166535278771E-2</v>
      </c>
      <c r="J33" s="70"/>
    </row>
    <row r="34" spans="2:13" x14ac:dyDescent="0.25">
      <c r="D34"/>
      <c r="E34" s="60"/>
      <c r="F34" s="60"/>
      <c r="G34" s="60"/>
      <c r="H34" s="60"/>
      <c r="I34" s="60"/>
      <c r="J34" s="70"/>
      <c r="K34" s="75"/>
      <c r="M34" s="60"/>
    </row>
    <row r="35" spans="2:13" x14ac:dyDescent="0.25">
      <c r="B35" s="62" t="str">
        <f>"Present value of UFCF on "&amp;TEXT(D7,"mmm dd, yyyy")&amp;" valuation date"</f>
        <v>Present value of UFCF on Jun 16, 2026 valuation date</v>
      </c>
      <c r="C35" s="63"/>
      <c r="D35" s="76"/>
      <c r="E35" s="63"/>
      <c r="F35" s="76"/>
      <c r="G35" s="76"/>
      <c r="H35" s="76"/>
      <c r="I35" s="76"/>
      <c r="J35" s="70"/>
    </row>
    <row r="36" spans="2:13" ht="17.25" x14ac:dyDescent="0.4">
      <c r="B36" s="72"/>
      <c r="D36" s="77" t="s">
        <v>70</v>
      </c>
      <c r="E36" s="77" t="s">
        <v>71</v>
      </c>
      <c r="F36" s="78" t="s">
        <v>72</v>
      </c>
      <c r="G36" s="78" t="s">
        <v>73</v>
      </c>
      <c r="H36" s="78" t="s">
        <v>74</v>
      </c>
      <c r="I36" s="78" t="s">
        <v>75</v>
      </c>
      <c r="J36" s="70"/>
    </row>
    <row r="37" spans="2:13" x14ac:dyDescent="0.25">
      <c r="B37" s="51" t="s">
        <v>76</v>
      </c>
      <c r="D37" s="79">
        <f>D7</f>
        <v>46189</v>
      </c>
      <c r="E37" s="159">
        <f>IF($H$9=1,AVERAGE(E12,D37),E12)</f>
        <v>46288</v>
      </c>
      <c r="F37" s="159">
        <f>IF($H$9=1,AVERAGE(F12,E12),F12)</f>
        <v>46569.5</v>
      </c>
      <c r="G37" s="159">
        <f>IF($H$9=1,AVERAGE(G12,F12),G12)</f>
        <v>46935</v>
      </c>
      <c r="H37" s="159">
        <f>IF($H$9=1,AVERAGE(H12,G12),H12)</f>
        <v>47300.5</v>
      </c>
      <c r="I37" s="159">
        <f>IF($H$9=1,AVERAGE(I12,H12),I12)</f>
        <v>47665.5</v>
      </c>
      <c r="J37" s="70"/>
    </row>
    <row r="38" spans="2:13" x14ac:dyDescent="0.25">
      <c r="B38" s="51" t="s">
        <v>77</v>
      </c>
      <c r="C38" s="80">
        <f>D8</f>
        <v>0.54166666666666663</v>
      </c>
      <c r="D38" s="74"/>
      <c r="E38" s="81">
        <f>E30*C38</f>
        <v>1340725692.8276808</v>
      </c>
      <c r="F38" s="81">
        <f>F30</f>
        <v>2972386416.598834</v>
      </c>
      <c r="G38" s="81">
        <f t="shared" ref="G38:I38" si="10">G30</f>
        <v>3459305695.2630424</v>
      </c>
      <c r="H38" s="81">
        <f t="shared" si="10"/>
        <v>3905544672.8483438</v>
      </c>
      <c r="I38" s="81">
        <f t="shared" si="10"/>
        <v>4331072673.8529854</v>
      </c>
      <c r="J38" s="69"/>
    </row>
    <row r="39" spans="2:13" ht="15" customHeight="1" x14ac:dyDescent="0.25">
      <c r="B39" s="72" t="s">
        <v>78</v>
      </c>
      <c r="C39" s="82"/>
      <c r="D39" s="73"/>
      <c r="E39" s="73">
        <f>E38/(1+$H$4)^((E37-$D$37)/365)</f>
        <v>1275625637.7984998</v>
      </c>
      <c r="F39" s="73">
        <f t="shared" ref="F39:I39" si="11">F38/(1+$H$4)^((F37-$D$37)/365)</f>
        <v>2454838514.7683883</v>
      </c>
      <c r="G39" s="73">
        <f t="shared" si="11"/>
        <v>2377385006.0069513</v>
      </c>
      <c r="H39" s="73">
        <f t="shared" si="11"/>
        <v>2233495615.1240788</v>
      </c>
      <c r="I39" s="73">
        <f t="shared" si="11"/>
        <v>2061584107.8277571</v>
      </c>
      <c r="J39" s="69"/>
    </row>
    <row r="41" spans="2:13" x14ac:dyDescent="0.25">
      <c r="B41" s="62" t="s">
        <v>79</v>
      </c>
      <c r="C41" s="62"/>
      <c r="E41" s="62" t="s">
        <v>80</v>
      </c>
      <c r="F41" s="63"/>
      <c r="G41" s="63"/>
      <c r="H41" s="63"/>
      <c r="I41" s="63"/>
    </row>
    <row r="42" spans="2:13" x14ac:dyDescent="0.25">
      <c r="B42" s="51" t="s">
        <v>81</v>
      </c>
      <c r="C42" s="83">
        <v>0.1</v>
      </c>
      <c r="E42" s="51" t="s">
        <v>82</v>
      </c>
      <c r="I42" s="74">
        <f>I16</f>
        <v>8428469588.7363758</v>
      </c>
      <c r="J42" s="74"/>
    </row>
    <row r="43" spans="2:13" x14ac:dyDescent="0.25">
      <c r="B43" s="84" t="str">
        <f>YEAR(I12)&amp;" FCF x (1+g)"</f>
        <v>2030 FCF x (1+g)</v>
      </c>
      <c r="C43" s="74">
        <f>I38*(1+C42)</f>
        <v>4764179941.2382841</v>
      </c>
      <c r="E43" s="51" t="s">
        <v>83</v>
      </c>
      <c r="I43" s="85">
        <v>5.4</v>
      </c>
      <c r="J43" s="85"/>
    </row>
    <row r="44" spans="2:13" x14ac:dyDescent="0.25">
      <c r="B44" s="51" t="str">
        <f>"Terminal value in "&amp;YEAR(I12)</f>
        <v>Terminal value in 2030</v>
      </c>
      <c r="C44" s="74">
        <f>C43/(H4-C42)</f>
        <v>46970849605.033791</v>
      </c>
      <c r="E44" s="51" t="str">
        <f>"Terminal value in "&amp;YEAR(I12)</f>
        <v>Terminal value in 2030</v>
      </c>
      <c r="I44" s="74">
        <f>I42*I43</f>
        <v>45513735779.17643</v>
      </c>
      <c r="J44" s="74"/>
    </row>
    <row r="45" spans="2:13" x14ac:dyDescent="0.25">
      <c r="B45" s="51" t="s">
        <v>84</v>
      </c>
      <c r="C45" s="74">
        <f>C44/(1+$H$4)^((I37-$D$37)/365)</f>
        <v>22358054082.422054</v>
      </c>
      <c r="E45" s="51" t="s">
        <v>84</v>
      </c>
      <c r="I45" s="74">
        <f>I44/(1+$H$4)^((I37-$D$37)/365)</f>
        <v>21664470083.054234</v>
      </c>
      <c r="J45" s="74"/>
    </row>
    <row r="46" spans="2:13" x14ac:dyDescent="0.25">
      <c r="B46" s="51" t="s">
        <v>85</v>
      </c>
      <c r="C46" s="69">
        <f>SUM(E39:I39)</f>
        <v>10402928881.525675</v>
      </c>
      <c r="E46" s="51" t="s">
        <v>85</v>
      </c>
      <c r="I46" s="74">
        <f>C46</f>
        <v>10402928881.525675</v>
      </c>
      <c r="J46" s="74"/>
    </row>
    <row r="47" spans="2:13" x14ac:dyDescent="0.25">
      <c r="B47" s="72" t="s">
        <v>86</v>
      </c>
      <c r="C47" s="86">
        <f>C45+C46</f>
        <v>32760982963.947731</v>
      </c>
      <c r="E47" s="72" t="s">
        <v>87</v>
      </c>
      <c r="I47" s="86">
        <f>I45+I46</f>
        <v>32067398964.57991</v>
      </c>
      <c r="J47" s="86"/>
    </row>
    <row r="49" spans="2:10" x14ac:dyDescent="0.25">
      <c r="B49" s="87" t="s">
        <v>88</v>
      </c>
      <c r="C49" s="88">
        <f>C45/C47</f>
        <v>0.68245980613665591</v>
      </c>
      <c r="E49" s="87" t="s">
        <v>88</v>
      </c>
      <c r="I49" s="88">
        <f>I45/I47</f>
        <v>0.67559174683870538</v>
      </c>
      <c r="J49" s="88"/>
    </row>
    <row r="50" spans="2:10" x14ac:dyDescent="0.25">
      <c r="B50" s="87" t="s">
        <v>89</v>
      </c>
      <c r="C50" s="88">
        <f>1-C49</f>
        <v>0.31754019386334409</v>
      </c>
      <c r="E50" s="87" t="s">
        <v>90</v>
      </c>
      <c r="G50" s="89"/>
      <c r="I50" s="90">
        <f>1-I49</f>
        <v>0.32440825316129462</v>
      </c>
      <c r="J50" s="90"/>
    </row>
    <row r="51" spans="2:10" x14ac:dyDescent="0.25">
      <c r="B51" s="87" t="s">
        <v>91</v>
      </c>
      <c r="C51" s="91">
        <f>C44/I16</f>
        <v>5.5728800003982473</v>
      </c>
      <c r="E51" s="51" t="s">
        <v>92</v>
      </c>
      <c r="I51" s="222">
        <f>(H4-I38/I44)/(1+I38/I44)</f>
        <v>9.7034941351069728E-2</v>
      </c>
      <c r="J51" s="92"/>
    </row>
    <row r="52" spans="2:10" x14ac:dyDescent="0.25">
      <c r="B52" s="87"/>
      <c r="C52" s="67"/>
      <c r="D52" s="91"/>
      <c r="I52" s="92"/>
      <c r="J52" s="92"/>
    </row>
    <row r="53" spans="2:10" x14ac:dyDescent="0.25">
      <c r="B53" s="62" t="s">
        <v>93</v>
      </c>
      <c r="C53" s="63"/>
      <c r="E53" s="62" t="s">
        <v>30</v>
      </c>
      <c r="F53" s="63"/>
      <c r="G53" s="62"/>
      <c r="H53" s="63"/>
      <c r="I53" s="63"/>
    </row>
    <row r="54" spans="2:10" x14ac:dyDescent="0.25">
      <c r="B54" s="51" t="s">
        <v>94</v>
      </c>
      <c r="C54" s="194" t="s">
        <v>179</v>
      </c>
    </row>
    <row r="55" spans="2:10" x14ac:dyDescent="0.25">
      <c r="B55" s="93" t="s">
        <v>95</v>
      </c>
      <c r="C55" s="58" t="s">
        <v>180</v>
      </c>
      <c r="G55" s="94" t="s">
        <v>94</v>
      </c>
      <c r="H55" s="95" t="s">
        <v>96</v>
      </c>
      <c r="I55" s="95" t="s">
        <v>97</v>
      </c>
    </row>
    <row r="56" spans="2:10" x14ac:dyDescent="0.25">
      <c r="B56" s="96" t="s">
        <v>98</v>
      </c>
      <c r="C56" s="97"/>
      <c r="E56" s="51" t="s">
        <v>99</v>
      </c>
      <c r="G56" s="195" t="s">
        <v>179</v>
      </c>
      <c r="H56" s="58" t="s">
        <v>180</v>
      </c>
      <c r="I56" s="192">
        <v>1389021139</v>
      </c>
      <c r="J56" s="98"/>
    </row>
    <row r="57" spans="2:10" x14ac:dyDescent="0.25">
      <c r="B57" s="71" t="s">
        <v>100</v>
      </c>
      <c r="C57" s="100">
        <f>FSM!F231</f>
        <v>5001054285</v>
      </c>
      <c r="E57" s="93" t="s">
        <v>101</v>
      </c>
      <c r="G57" s="195"/>
      <c r="H57" s="58"/>
      <c r="I57" s="192"/>
      <c r="J57" s="99"/>
    </row>
    <row r="58" spans="2:10" x14ac:dyDescent="0.25">
      <c r="B58" s="71" t="s">
        <v>102</v>
      </c>
      <c r="C58" s="100"/>
      <c r="E58" s="93" t="s">
        <v>103</v>
      </c>
      <c r="G58" s="58"/>
      <c r="H58" s="58"/>
      <c r="I58" s="101"/>
    </row>
    <row r="59" spans="2:10" ht="15" customHeight="1" x14ac:dyDescent="0.25">
      <c r="B59" s="71" t="s">
        <v>104</v>
      </c>
      <c r="C59" s="100"/>
      <c r="E59" s="51" t="s">
        <v>102</v>
      </c>
      <c r="G59" s="58"/>
      <c r="H59" s="58"/>
      <c r="I59" s="101"/>
    </row>
    <row r="60" spans="2:10" x14ac:dyDescent="0.25">
      <c r="B60" s="102" t="s">
        <v>105</v>
      </c>
      <c r="C60" s="100">
        <f>FSM!F105</f>
        <v>367793335</v>
      </c>
      <c r="E60" s="51" t="s">
        <v>106</v>
      </c>
      <c r="G60" s="58"/>
      <c r="H60" s="58"/>
      <c r="I60" s="101"/>
    </row>
    <row r="61" spans="2:10" ht="15" customHeight="1" x14ac:dyDescent="0.25">
      <c r="B61" s="96" t="s">
        <v>107</v>
      </c>
      <c r="C61" s="100"/>
      <c r="E61" s="103" t="s">
        <v>108</v>
      </c>
      <c r="I61" s="193">
        <f>SUM(I56:I60)</f>
        <v>1389021139</v>
      </c>
      <c r="J61" s="104"/>
    </row>
    <row r="62" spans="2:10" x14ac:dyDescent="0.25">
      <c r="B62" s="105" t="s">
        <v>109</v>
      </c>
      <c r="C62" s="100">
        <f>FSM!F61</f>
        <v>716765194</v>
      </c>
      <c r="J62" s="106"/>
    </row>
    <row r="63" spans="2:10" x14ac:dyDescent="0.25">
      <c r="B63" s="105" t="s">
        <v>110</v>
      </c>
      <c r="C63" s="100">
        <f>FSM!F62</f>
        <v>578992890</v>
      </c>
      <c r="J63" s="106"/>
    </row>
    <row r="64" spans="2:10" x14ac:dyDescent="0.25">
      <c r="B64" s="105" t="s">
        <v>173</v>
      </c>
      <c r="C64" s="100">
        <f>FSM!F60</f>
        <v>3445357884</v>
      </c>
      <c r="J64" s="107"/>
    </row>
    <row r="65" spans="2:6" x14ac:dyDescent="0.25">
      <c r="B65" s="108" t="s">
        <v>93</v>
      </c>
      <c r="C65" s="14">
        <f>SUM(C57:C60)-SUM(C62:C64)</f>
        <v>627731652</v>
      </c>
    </row>
    <row r="67" spans="2:6" x14ac:dyDescent="0.25">
      <c r="B67" s="62" t="s">
        <v>111</v>
      </c>
      <c r="C67" s="63"/>
      <c r="D67" s="63"/>
    </row>
    <row r="68" spans="2:6" ht="17.25" x14ac:dyDescent="0.4">
      <c r="C68" s="109" t="s">
        <v>112</v>
      </c>
      <c r="D68" s="109" t="s">
        <v>24</v>
      </c>
    </row>
    <row r="69" spans="2:6" x14ac:dyDescent="0.25">
      <c r="B69" s="51" t="s">
        <v>113</v>
      </c>
      <c r="C69" s="110">
        <f>C47</f>
        <v>32760982963.947731</v>
      </c>
      <c r="D69" s="110">
        <f>I47</f>
        <v>32067398964.57991</v>
      </c>
    </row>
    <row r="70" spans="2:6" x14ac:dyDescent="0.25">
      <c r="B70" s="51" t="s">
        <v>93</v>
      </c>
      <c r="C70" s="111">
        <f>C65</f>
        <v>627731652</v>
      </c>
      <c r="D70" s="111">
        <f>C65</f>
        <v>627731652</v>
      </c>
    </row>
    <row r="71" spans="2:6" x14ac:dyDescent="0.25">
      <c r="B71" s="51" t="s">
        <v>114</v>
      </c>
      <c r="C71" s="112">
        <f>C69-C70</f>
        <v>32133251311.947731</v>
      </c>
      <c r="D71" s="112">
        <f t="shared" ref="D71" si="12">D69-D70</f>
        <v>31439667312.57991</v>
      </c>
    </row>
    <row r="72" spans="2:6" x14ac:dyDescent="0.25">
      <c r="B72" s="51" t="s">
        <v>30</v>
      </c>
      <c r="C72" s="218">
        <f>$I$61</f>
        <v>1389021139</v>
      </c>
      <c r="D72" s="218">
        <f t="shared" ref="D72" si="13">$I$61</f>
        <v>1389021139</v>
      </c>
    </row>
    <row r="73" spans="2:6" x14ac:dyDescent="0.25">
      <c r="B73" s="72" t="s">
        <v>115</v>
      </c>
      <c r="C73" s="264">
        <f>C71/C72</f>
        <v>23.133738148205197</v>
      </c>
      <c r="D73" s="264">
        <f>D71/D72</f>
        <v>22.634405215182195</v>
      </c>
    </row>
    <row r="75" spans="2:6" ht="17.25" x14ac:dyDescent="0.4">
      <c r="C75" s="65" t="s">
        <v>116</v>
      </c>
      <c r="D75" s="65"/>
    </row>
    <row r="76" spans="2:6" x14ac:dyDescent="0.25">
      <c r="B76" s="94"/>
      <c r="C76" s="95" t="s">
        <v>112</v>
      </c>
      <c r="D76" s="95" t="s">
        <v>24</v>
      </c>
    </row>
    <row r="77" spans="2:6" x14ac:dyDescent="0.25">
      <c r="B77" s="51" t="s">
        <v>117</v>
      </c>
      <c r="C77" s="241">
        <f>C69/$C$14</f>
        <v>1.4339602759757699</v>
      </c>
      <c r="D77" s="241">
        <f>D69/$C$14</f>
        <v>1.4036018491776379</v>
      </c>
    </row>
    <row r="78" spans="2:6" x14ac:dyDescent="0.25">
      <c r="B78" s="51" t="s">
        <v>118</v>
      </c>
      <c r="C78" s="242">
        <f>C69/$C$16</f>
        <v>7.0754312087632529</v>
      </c>
      <c r="D78" s="242">
        <f>D69/$C$16</f>
        <v>6.9256369892056062</v>
      </c>
    </row>
    <row r="79" spans="2:6" x14ac:dyDescent="0.25">
      <c r="B79" s="69" t="s">
        <v>119</v>
      </c>
      <c r="C79" s="242">
        <f>C69/$C$18</f>
        <v>7.9746708165969027</v>
      </c>
      <c r="D79" s="242">
        <f>D69/$C$18</f>
        <v>7.8058387615665668</v>
      </c>
    </row>
    <row r="80" spans="2:6" ht="17.25" x14ac:dyDescent="0.4">
      <c r="B80" s="69"/>
      <c r="C80" s="65" t="s">
        <v>120</v>
      </c>
      <c r="D80" s="65"/>
      <c r="E80" s="113"/>
      <c r="F80" s="113"/>
    </row>
    <row r="81" spans="2:17" x14ac:dyDescent="0.25">
      <c r="B81" s="94"/>
      <c r="C81" s="95" t="s">
        <v>112</v>
      </c>
      <c r="D81" s="95" t="s">
        <v>24</v>
      </c>
      <c r="E81" s="113"/>
      <c r="F81" s="113"/>
    </row>
    <row r="82" spans="2:17" x14ac:dyDescent="0.25">
      <c r="B82" s="51" t="s">
        <v>117</v>
      </c>
      <c r="C82" s="241">
        <f>C69/$E$14</f>
        <v>1.3037064206155029</v>
      </c>
      <c r="D82" s="241">
        <f>D69/$E$14</f>
        <v>1.2761056030757154</v>
      </c>
      <c r="E82" s="113"/>
      <c r="F82" s="113"/>
    </row>
    <row r="83" spans="2:17" x14ac:dyDescent="0.25">
      <c r="B83" s="51" t="s">
        <v>118</v>
      </c>
      <c r="C83" s="242">
        <f>C69/$E$16</f>
        <v>6.4025045291616633</v>
      </c>
      <c r="D83" s="242">
        <f>D69/$E$16</f>
        <v>6.2669568655829071</v>
      </c>
      <c r="E83" s="113"/>
      <c r="F83" s="113"/>
    </row>
    <row r="84" spans="2:17" x14ac:dyDescent="0.25">
      <c r="B84" s="69" t="s">
        <v>119</v>
      </c>
      <c r="C84" s="242">
        <f>C69/$E$18</f>
        <v>7.2119123576281634</v>
      </c>
      <c r="D84" s="242">
        <f>D69/$E$18</f>
        <v>7.0592286905477666</v>
      </c>
      <c r="E84" s="113"/>
      <c r="F84" s="113"/>
    </row>
    <row r="86" spans="2:17" x14ac:dyDescent="0.25">
      <c r="B86" s="62" t="s">
        <v>121</v>
      </c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</row>
    <row r="87" spans="2:17" x14ac:dyDescent="0.25">
      <c r="B87" s="72"/>
    </row>
    <row r="88" spans="2:17" ht="17.25" customHeight="1" x14ac:dyDescent="0.4">
      <c r="B88" s="114"/>
      <c r="C88" s="72"/>
      <c r="D88" s="115" t="s">
        <v>115</v>
      </c>
      <c r="E88" s="65"/>
      <c r="F88" s="65"/>
      <c r="G88" s="65"/>
      <c r="H88" s="65"/>
      <c r="I88" s="65"/>
      <c r="J88" s="116"/>
      <c r="L88" s="115" t="s">
        <v>122</v>
      </c>
      <c r="M88" s="65"/>
      <c r="N88" s="65"/>
      <c r="O88" s="65"/>
      <c r="P88" s="65"/>
      <c r="Q88" s="65"/>
    </row>
    <row r="89" spans="2:17" ht="15" customHeight="1" x14ac:dyDescent="0.25">
      <c r="B89" s="114"/>
      <c r="D89" s="93"/>
      <c r="E89" s="117" t="s">
        <v>123</v>
      </c>
      <c r="F89" s="117"/>
      <c r="G89" s="117"/>
      <c r="H89" s="117"/>
      <c r="I89" s="117"/>
      <c r="J89" s="118"/>
      <c r="L89" s="117" t="s">
        <v>123</v>
      </c>
      <c r="M89" s="117"/>
      <c r="N89" s="117"/>
      <c r="O89" s="117"/>
      <c r="P89" s="117"/>
      <c r="Q89" s="117"/>
    </row>
    <row r="90" spans="2:17" ht="15" customHeight="1" x14ac:dyDescent="0.25">
      <c r="B90" s="114"/>
      <c r="C90" s="119"/>
      <c r="D90" s="163">
        <f>C73</f>
        <v>23.133738148205197</v>
      </c>
      <c r="E90" s="198">
        <f>F90-0.005</f>
        <v>0.09</v>
      </c>
      <c r="F90" s="199">
        <f>G90-0.005</f>
        <v>9.5000000000000001E-2</v>
      </c>
      <c r="G90" s="120">
        <f>$C$42</f>
        <v>0.1</v>
      </c>
      <c r="H90" s="199">
        <f>G90+0.005</f>
        <v>0.10500000000000001</v>
      </c>
      <c r="I90" s="223">
        <f>H90+0.005</f>
        <v>0.11000000000000001</v>
      </c>
      <c r="K90" s="124"/>
      <c r="L90" s="121">
        <f>C78</f>
        <v>7.0754312087632529</v>
      </c>
      <c r="M90" s="198">
        <f>N90-0.005</f>
        <v>0.09</v>
      </c>
      <c r="N90" s="199">
        <f>O90-0.005</f>
        <v>9.5000000000000001E-2</v>
      </c>
      <c r="O90" s="120">
        <f>$C$42</f>
        <v>0.1</v>
      </c>
      <c r="P90" s="199">
        <f>O90+0.005</f>
        <v>0.10500000000000001</v>
      </c>
      <c r="Q90" s="223">
        <f>P90+0.005</f>
        <v>0.11000000000000001</v>
      </c>
    </row>
    <row r="91" spans="2:17" ht="15" customHeight="1" x14ac:dyDescent="0.25">
      <c r="B91" s="114"/>
      <c r="D91" s="196">
        <f>D92+0.01</f>
        <v>0.22142843872953313</v>
      </c>
      <c r="E91" s="122">
        <f t="dataTable" ref="E91:I95" dt2D="1" dtr="1" r1="C42" r2="H4" ca="1"/>
        <v>18.285653882824409</v>
      </c>
      <c r="F91" s="122">
        <v>17.812795199208065</v>
      </c>
      <c r="G91" s="122">
        <v>17.812795199208065</v>
      </c>
      <c r="H91" s="122">
        <v>18.285653882824409</v>
      </c>
      <c r="I91" s="122">
        <v>19.348195287794159</v>
      </c>
      <c r="J91" s="123"/>
      <c r="L91" s="196">
        <f>L92+0.01</f>
        <v>0.22142843872953313</v>
      </c>
      <c r="M91" s="124">
        <f t="dataTable" ref="M91:Q95" dt2D="1" dtr="1" r1="C42" r2="H4" ca="1"/>
        <v>5.6210608861693521</v>
      </c>
      <c r="N91" s="124">
        <v>5.4792086413263226</v>
      </c>
      <c r="O91" s="124">
        <v>5.4792086413263226</v>
      </c>
      <c r="P91" s="124">
        <v>5.6210608861693521</v>
      </c>
      <c r="Q91" s="124">
        <v>5.9398112628800295</v>
      </c>
    </row>
    <row r="92" spans="2:17" ht="15" customHeight="1" x14ac:dyDescent="0.25">
      <c r="B92" s="114"/>
      <c r="D92" s="196">
        <f>D93+0.01</f>
        <v>0.21142843872953312</v>
      </c>
      <c r="E92" s="122">
        <v>19.785998807733925</v>
      </c>
      <c r="F92" s="122">
        <v>19.219716980248464</v>
      </c>
      <c r="G92" s="122">
        <v>19.219716980248464</v>
      </c>
      <c r="H92" s="122">
        <v>19.785998807733925</v>
      </c>
      <c r="I92" s="122">
        <v>21.071023136283873</v>
      </c>
      <c r="J92" s="123"/>
      <c r="L92" s="196">
        <f>L93+0.01</f>
        <v>0.21142843872953312</v>
      </c>
      <c r="M92" s="124">
        <v>6.0711473559991802</v>
      </c>
      <c r="N92" s="124">
        <v>5.9012692270235476</v>
      </c>
      <c r="O92" s="124">
        <v>5.9012692270235476</v>
      </c>
      <c r="P92" s="124">
        <v>6.0711473559991802</v>
      </c>
      <c r="Q92" s="124">
        <v>6.4566400877570951</v>
      </c>
    </row>
    <row r="93" spans="2:17" ht="15" customHeight="1" x14ac:dyDescent="0.25">
      <c r="B93" s="114"/>
      <c r="C93" s="119" t="s">
        <v>124</v>
      </c>
      <c r="D93" s="125">
        <f>WACC!$E$21</f>
        <v>0.20142843872953312</v>
      </c>
      <c r="E93" s="122">
        <v>21.556002187431066</v>
      </c>
      <c r="F93" s="122">
        <v>20.868767620966988</v>
      </c>
      <c r="G93" s="122">
        <v>20.868767620966988</v>
      </c>
      <c r="H93" s="122">
        <v>21.556002187431066</v>
      </c>
      <c r="I93" s="122">
        <v>23.133738148205197</v>
      </c>
      <c r="J93" s="123"/>
      <c r="K93" s="119" t="s">
        <v>124</v>
      </c>
      <c r="L93" s="125">
        <f>WACC!$E$21</f>
        <v>0.20142843872953312</v>
      </c>
      <c r="M93" s="124">
        <v>6.6021283054650484</v>
      </c>
      <c r="N93" s="124">
        <v>6.3959657258945519</v>
      </c>
      <c r="O93" s="124">
        <v>6.3959657258945519</v>
      </c>
      <c r="P93" s="124">
        <v>6.6021283054650484</v>
      </c>
      <c r="Q93" s="124">
        <v>7.0754312087632529</v>
      </c>
    </row>
    <row r="94" spans="2:17" ht="15" customHeight="1" x14ac:dyDescent="0.25">
      <c r="B94" s="114"/>
      <c r="D94" s="196">
        <f t="shared" ref="D94:D95" si="14">D93-0.01</f>
        <v>0.19142843872953311</v>
      </c>
      <c r="E94" s="122">
        <v>23.675442449760318</v>
      </c>
      <c r="F94" s="122">
        <v>22.828221642882394</v>
      </c>
      <c r="G94" s="122">
        <v>22.828221642882394</v>
      </c>
      <c r="H94" s="122">
        <v>23.675442449760318</v>
      </c>
      <c r="I94" s="122">
        <v>25.647878794253351</v>
      </c>
      <c r="J94" s="123"/>
      <c r="L94" s="196">
        <f t="shared" ref="L94:L95" si="15">L93-0.01</f>
        <v>0.19142843872953311</v>
      </c>
      <c r="M94" s="124">
        <v>7.2379363585662437</v>
      </c>
      <c r="N94" s="124">
        <v>6.9837797204471395</v>
      </c>
      <c r="O94" s="124">
        <v>6.9837797204471395</v>
      </c>
      <c r="P94" s="124">
        <v>7.2379363585662437</v>
      </c>
      <c r="Q94" s="124">
        <v>7.8296449027268222</v>
      </c>
    </row>
    <row r="95" spans="2:17" ht="15" customHeight="1" x14ac:dyDescent="0.25">
      <c r="B95" s="126" t="s">
        <v>125</v>
      </c>
      <c r="D95" s="197">
        <f t="shared" si="14"/>
        <v>0.1814284387295331</v>
      </c>
      <c r="E95" s="122">
        <v>26.259002250305311</v>
      </c>
      <c r="F95" s="122">
        <v>25.1946761632062</v>
      </c>
      <c r="G95" s="122">
        <v>25.1946761632062</v>
      </c>
      <c r="H95" s="122">
        <v>26.259002250305311</v>
      </c>
      <c r="I95" s="122">
        <v>28.779775200870493</v>
      </c>
      <c r="J95" s="123"/>
      <c r="L95" s="197">
        <f t="shared" si="15"/>
        <v>0.1814284387295331</v>
      </c>
      <c r="M95" s="124">
        <v>8.0129750119556853</v>
      </c>
      <c r="N95" s="124">
        <v>7.6936892508370383</v>
      </c>
      <c r="O95" s="124">
        <v>7.6936892508370383</v>
      </c>
      <c r="P95" s="124">
        <v>8.0129750119556853</v>
      </c>
      <c r="Q95" s="124">
        <v>8.7691783220917365</v>
      </c>
    </row>
    <row r="96" spans="2:17" ht="15" customHeight="1" x14ac:dyDescent="0.25">
      <c r="B96" s="126" t="s">
        <v>126</v>
      </c>
      <c r="E96" s="127"/>
      <c r="F96" s="127"/>
      <c r="G96" s="127"/>
      <c r="H96" s="127"/>
      <c r="I96" s="127"/>
      <c r="J96" s="127"/>
    </row>
    <row r="97" spans="2:17" ht="17.25" customHeight="1" x14ac:dyDescent="0.4">
      <c r="B97" s="114"/>
      <c r="D97" s="115" t="s">
        <v>115</v>
      </c>
      <c r="E97" s="65"/>
      <c r="F97" s="65"/>
      <c r="G97" s="65"/>
      <c r="H97" s="65"/>
      <c r="I97" s="65"/>
      <c r="J97" s="116"/>
      <c r="L97" s="115" t="s">
        <v>122</v>
      </c>
      <c r="M97" s="65"/>
      <c r="N97" s="65"/>
      <c r="O97" s="65"/>
      <c r="P97" s="65"/>
      <c r="Q97" s="65"/>
    </row>
    <row r="98" spans="2:17" ht="15" customHeight="1" x14ac:dyDescent="0.25">
      <c r="B98" s="114"/>
      <c r="E98" s="117" t="s">
        <v>127</v>
      </c>
      <c r="F98" s="117"/>
      <c r="G98" s="117"/>
      <c r="H98" s="117"/>
      <c r="I98" s="117"/>
      <c r="J98" s="118"/>
      <c r="M98" s="117" t="s">
        <v>127</v>
      </c>
      <c r="N98" s="117"/>
      <c r="O98" s="117"/>
      <c r="P98" s="117"/>
      <c r="Q98" s="117"/>
    </row>
    <row r="99" spans="2:17" ht="15" customHeight="1" x14ac:dyDescent="0.25">
      <c r="B99" s="114"/>
      <c r="D99" s="164">
        <f>D73</f>
        <v>22.634405215182195</v>
      </c>
      <c r="E99" s="165">
        <f>+F99-0.5</f>
        <v>4.4000000000000004</v>
      </c>
      <c r="F99" s="165">
        <f>+G99-0.5</f>
        <v>4.9000000000000004</v>
      </c>
      <c r="G99" s="128">
        <f>$I$43</f>
        <v>5.4</v>
      </c>
      <c r="H99" s="165">
        <f>+G99+0.5</f>
        <v>5.9</v>
      </c>
      <c r="I99" s="225">
        <f>+H99+0.5</f>
        <v>6.4</v>
      </c>
      <c r="J99" s="224"/>
      <c r="L99" s="121">
        <f>D78</f>
        <v>6.9256369892056062</v>
      </c>
      <c r="M99" s="165">
        <f>+N99-0.5</f>
        <v>4.4000000000000004</v>
      </c>
      <c r="N99" s="165">
        <f>+O99-0.5</f>
        <v>4.9000000000000004</v>
      </c>
      <c r="O99" s="128">
        <f>$I$43</f>
        <v>5.4</v>
      </c>
      <c r="P99" s="165">
        <f>+O99+0.5</f>
        <v>5.9</v>
      </c>
      <c r="Q99" s="225">
        <f>+P99+0.5</f>
        <v>6.4</v>
      </c>
    </row>
    <row r="100" spans="2:17" ht="15" customHeight="1" x14ac:dyDescent="0.25">
      <c r="B100" s="114"/>
      <c r="D100" s="196">
        <f>D101+0.01</f>
        <v>0.22142843872953313</v>
      </c>
      <c r="E100" s="122">
        <f t="dataTable" ref="E100:I104" dt2D="1" dtr="1" r1="I43" r2="H4" ca="1"/>
        <v>18.65927511563569</v>
      </c>
      <c r="F100" s="122">
        <v>17.308413528387153</v>
      </c>
      <c r="G100" s="122">
        <v>17.308413528387153</v>
      </c>
      <c r="H100" s="122">
        <v>18.65927511563569</v>
      </c>
      <c r="I100" s="122">
        <v>21.360998290132777</v>
      </c>
      <c r="J100" s="123"/>
      <c r="L100" s="196">
        <f>L101+0.01</f>
        <v>0.22142843872953313</v>
      </c>
      <c r="M100" s="124">
        <f t="dataTable" ref="M100:Q104" dt2D="1" dtr="1" r1="I43" r2="H4" ca="1"/>
        <v>5.7331430207089413</v>
      </c>
      <c r="N100" s="124">
        <v>5.3278998576608965</v>
      </c>
      <c r="O100" s="124">
        <v>5.3278998576608965</v>
      </c>
      <c r="P100" s="124">
        <v>5.7331430207089413</v>
      </c>
      <c r="Q100" s="124">
        <v>6.5436293468050337</v>
      </c>
    </row>
    <row r="101" spans="2:17" ht="15" customHeight="1" x14ac:dyDescent="0.25">
      <c r="B101" s="114"/>
      <c r="D101" s="196">
        <f>D102+0.01</f>
        <v>0.21142843872953312</v>
      </c>
      <c r="E101" s="122">
        <v>19.191981291616955</v>
      </c>
      <c r="F101" s="122">
        <v>17.795441549225703</v>
      </c>
      <c r="G101" s="122">
        <v>17.795441549225703</v>
      </c>
      <c r="H101" s="122">
        <v>19.191981291616955</v>
      </c>
      <c r="I101" s="122">
        <v>21.985060776399465</v>
      </c>
      <c r="J101" s="123"/>
      <c r="L101" s="196">
        <f>L102+0.01</f>
        <v>0.21142843872953312</v>
      </c>
      <c r="M101" s="124">
        <v>5.892948834840924</v>
      </c>
      <c r="N101" s="124">
        <v>5.4740027430495024</v>
      </c>
      <c r="O101" s="124">
        <v>5.4740027430495024</v>
      </c>
      <c r="P101" s="124">
        <v>5.892948834840924</v>
      </c>
      <c r="Q101" s="124">
        <v>6.7308410184237699</v>
      </c>
    </row>
    <row r="102" spans="2:17" ht="15" customHeight="1" x14ac:dyDescent="0.25">
      <c r="B102" s="114"/>
      <c r="C102" s="119" t="s">
        <v>124</v>
      </c>
      <c r="D102" s="125">
        <f>WACC!$E$21</f>
        <v>0.20142843872953312</v>
      </c>
      <c r="E102" s="122">
        <v>19.746084230263545</v>
      </c>
      <c r="F102" s="122">
        <v>18.30192373780422</v>
      </c>
      <c r="G102" s="122">
        <v>18.30192373780422</v>
      </c>
      <c r="H102" s="122">
        <v>19.746084230263545</v>
      </c>
      <c r="I102" s="122">
        <v>22.634405215182195</v>
      </c>
      <c r="J102" s="123"/>
      <c r="K102" s="119" t="s">
        <v>124</v>
      </c>
      <c r="L102" s="125">
        <f>WACC!$E$21</f>
        <v>0.20142843872953312</v>
      </c>
      <c r="M102" s="124">
        <v>6.0591734352226121</v>
      </c>
      <c r="N102" s="124">
        <v>5.625941658231115</v>
      </c>
      <c r="O102" s="124">
        <v>5.625941658231115</v>
      </c>
      <c r="P102" s="124">
        <v>6.0591734352226121</v>
      </c>
      <c r="Q102" s="124">
        <v>6.9256369892056062</v>
      </c>
    </row>
    <row r="103" spans="2:17" ht="15" customHeight="1" x14ac:dyDescent="0.25">
      <c r="B103" s="114"/>
      <c r="D103" s="196">
        <f t="shared" ref="D103:D104" si="16">D102-0.01</f>
        <v>0.19142843872953311</v>
      </c>
      <c r="E103" s="122">
        <v>20.322652463664763</v>
      </c>
      <c r="F103" s="122">
        <v>18.828828797254868</v>
      </c>
      <c r="G103" s="122">
        <v>18.828828797254868</v>
      </c>
      <c r="H103" s="122">
        <v>20.322652463664763</v>
      </c>
      <c r="I103" s="122">
        <v>23.310299796484561</v>
      </c>
      <c r="J103" s="123"/>
      <c r="L103" s="196">
        <f t="shared" ref="L103:L104" si="17">L102-0.01</f>
        <v>0.19142843872953311</v>
      </c>
      <c r="M103" s="124">
        <v>6.2321373693681066</v>
      </c>
      <c r="N103" s="124">
        <v>5.7840072031643377</v>
      </c>
      <c r="O103" s="124">
        <v>5.7840072031643377</v>
      </c>
      <c r="P103" s="124">
        <v>6.2321373693681066</v>
      </c>
      <c r="Q103" s="124">
        <v>7.1283977017756435</v>
      </c>
    </row>
    <row r="104" spans="2:17" ht="15" customHeight="1" x14ac:dyDescent="0.25">
      <c r="B104" s="114"/>
      <c r="D104" s="197">
        <f t="shared" si="16"/>
        <v>0.1814284387295331</v>
      </c>
      <c r="E104" s="122">
        <v>20.922817962338282</v>
      </c>
      <c r="F104" s="122">
        <v>19.377182839198326</v>
      </c>
      <c r="G104" s="122">
        <v>19.377182839198326</v>
      </c>
      <c r="H104" s="122">
        <v>20.922817962338282</v>
      </c>
      <c r="I104" s="122">
        <v>24.014088208618194</v>
      </c>
      <c r="J104" s="123"/>
      <c r="L104" s="197">
        <f t="shared" si="17"/>
        <v>0.1814284387295331</v>
      </c>
      <c r="M104" s="124">
        <v>6.4121802156008902</v>
      </c>
      <c r="N104" s="124">
        <v>5.9485071997035561</v>
      </c>
      <c r="O104" s="124">
        <v>5.9485071997035561</v>
      </c>
      <c r="P104" s="124">
        <v>6.4121802156008902</v>
      </c>
      <c r="Q104" s="124">
        <v>7.3395262473955594</v>
      </c>
    </row>
    <row r="105" spans="2:17" x14ac:dyDescent="0.25">
      <c r="J105" s="129"/>
    </row>
    <row r="106" spans="2:17" x14ac:dyDescent="0.25">
      <c r="B106" s="130" t="s">
        <v>128</v>
      </c>
      <c r="C106" s="130"/>
      <c r="D106" s="130"/>
      <c r="E106" s="130"/>
      <c r="G106" s="130" t="s">
        <v>129</v>
      </c>
      <c r="H106" s="130"/>
      <c r="I106" s="130"/>
      <c r="J106" s="131"/>
      <c r="K106" s="130"/>
      <c r="L106" s="130"/>
      <c r="M106" s="130"/>
      <c r="N106" s="130"/>
      <c r="O106" s="130"/>
      <c r="P106" s="130"/>
    </row>
    <row r="107" spans="2:17" x14ac:dyDescent="0.25">
      <c r="J107" s="129"/>
    </row>
    <row r="108" spans="2:17" x14ac:dyDescent="0.25">
      <c r="J108" s="129"/>
    </row>
    <row r="109" spans="2:17" x14ac:dyDescent="0.25">
      <c r="J109" s="129"/>
    </row>
    <row r="110" spans="2:17" x14ac:dyDescent="0.25">
      <c r="J110" s="129"/>
    </row>
    <row r="111" spans="2:17" x14ac:dyDescent="0.25">
      <c r="J111" s="129"/>
    </row>
    <row r="112" spans="2:17" x14ac:dyDescent="0.25">
      <c r="J112" s="129"/>
    </row>
    <row r="113" spans="2:17" x14ac:dyDescent="0.25">
      <c r="J113" s="129"/>
    </row>
    <row r="114" spans="2:17" x14ac:dyDescent="0.25">
      <c r="J114" s="129"/>
    </row>
    <row r="115" spans="2:17" x14ac:dyDescent="0.25">
      <c r="J115" s="129"/>
    </row>
    <row r="116" spans="2:17" x14ac:dyDescent="0.25">
      <c r="J116" s="129"/>
    </row>
    <row r="117" spans="2:17" x14ac:dyDescent="0.25">
      <c r="J117" s="129"/>
    </row>
    <row r="118" spans="2:17" x14ac:dyDescent="0.25">
      <c r="J118" s="129"/>
    </row>
    <row r="119" spans="2:17" x14ac:dyDescent="0.25">
      <c r="J119" s="129"/>
    </row>
    <row r="120" spans="2:17" x14ac:dyDescent="0.25">
      <c r="J120" s="129"/>
      <c r="M120" s="132"/>
    </row>
    <row r="121" spans="2:17" x14ac:dyDescent="0.25">
      <c r="J121" s="129"/>
    </row>
    <row r="122" spans="2:17" x14ac:dyDescent="0.25">
      <c r="J122" s="129"/>
    </row>
    <row r="123" spans="2:17" x14ac:dyDescent="0.25">
      <c r="J123" s="129"/>
    </row>
    <row r="124" spans="2:17" x14ac:dyDescent="0.25">
      <c r="J124" s="129"/>
    </row>
    <row r="125" spans="2:17" x14ac:dyDescent="0.25">
      <c r="J125" s="129"/>
    </row>
    <row r="126" spans="2:17" x14ac:dyDescent="0.25">
      <c r="J126" s="129"/>
    </row>
    <row r="127" spans="2:17" x14ac:dyDescent="0.25">
      <c r="B127" s="133"/>
      <c r="C127" s="134" t="s">
        <v>130</v>
      </c>
      <c r="D127" s="134" t="s">
        <v>131</v>
      </c>
      <c r="E127" s="135" t="s">
        <v>132</v>
      </c>
      <c r="G127" s="133"/>
      <c r="H127" s="136"/>
      <c r="I127" s="136"/>
      <c r="J127" s="137"/>
      <c r="K127" s="136"/>
      <c r="L127" s="136"/>
      <c r="M127" s="136"/>
      <c r="N127" s="136"/>
      <c r="O127" s="134" t="s">
        <v>130</v>
      </c>
      <c r="P127" s="134" t="s">
        <v>131</v>
      </c>
      <c r="Q127" s="135" t="s">
        <v>132</v>
      </c>
    </row>
    <row r="128" spans="2:17" x14ac:dyDescent="0.25">
      <c r="B128" s="166" t="str">
        <f>"DCF Value at "&amp;TEXT(E99,"0.0x")&amp;"-"&amp;TEXT(I99,"0.0x")&amp;" Exit EBITDA Range at "&amp;TEXT(D102,"0.0%")&amp;" WACC"</f>
        <v>DCF Value at 4.4x-6.4x Exit EBITDA Range at 20.1% WACC</v>
      </c>
      <c r="C128" s="167">
        <f>E102</f>
        <v>19.746084230263545</v>
      </c>
      <c r="D128" s="167">
        <f>E128-C128</f>
        <v>2.88832098491865</v>
      </c>
      <c r="E128" s="168">
        <f>I102</f>
        <v>22.634405215182195</v>
      </c>
      <c r="G128" s="166" t="str">
        <f>"LTM EBITDA Purchase Multiple at "&amp;TEXT(M90,"0.0%")&amp;"-"&amp;TEXT(Q90,"0.0%")&amp;" Perpetuity Growth at "&amp;TEXT(L93,"0.0%")&amp;" WACC"</f>
        <v>LTM EBITDA Purchase Multiple at 9.0%-11.0% Perpetuity Growth at 20.1% WACC</v>
      </c>
      <c r="H128"/>
      <c r="I128"/>
      <c r="J128" s="174"/>
      <c r="K128"/>
      <c r="L128"/>
      <c r="M128"/>
      <c r="N128"/>
      <c r="O128" s="175">
        <f>M93</f>
        <v>6.6021283054650484</v>
      </c>
      <c r="P128" s="175">
        <f>Q128-O128</f>
        <v>0.47330290329820457</v>
      </c>
      <c r="Q128" s="176">
        <f>Q93</f>
        <v>7.0754312087632529</v>
      </c>
    </row>
    <row r="129" spans="2:17" x14ac:dyDescent="0.25">
      <c r="B129" s="169" t="str">
        <f>"DCF Value at "&amp;TEXT(E90,"0.0%")&amp;"-"&amp;TEXT(I90,"0.0%")&amp;" Perpetuity Range at "&amp;TEXT(D102,"0.0%")&amp;" WACC"</f>
        <v>DCF Value at 9.0%-11.0% Perpetuity Range at 20.1% WACC</v>
      </c>
      <c r="C129" s="167">
        <f>E93</f>
        <v>21.556002187431066</v>
      </c>
      <c r="D129" s="167">
        <f>E129-C129</f>
        <v>1.577735960774131</v>
      </c>
      <c r="E129" s="168">
        <f>I93</f>
        <v>23.133738148205197</v>
      </c>
      <c r="G129" s="169" t="str">
        <f>"LTM EBITDA Purchase Multiple at "&amp;TEXT(M102,"0.0x")&amp;"-"&amp;TEXT(Q102,"0.0x")&amp;" Exit EBITDA Multiple at "&amp;TEXT(L102,"0.0%")&amp;" WACC"</f>
        <v>LTM EBITDA Purchase Multiple at 6.1x-6.9x Exit EBITDA Multiple at 20.1% WACC</v>
      </c>
      <c r="H129"/>
      <c r="I129"/>
      <c r="J129" s="174"/>
      <c r="K129"/>
      <c r="L129"/>
      <c r="M129"/>
      <c r="N129"/>
      <c r="O129" s="175">
        <f>M102</f>
        <v>6.0591734352226121</v>
      </c>
      <c r="P129" s="175">
        <f>Q129-O129</f>
        <v>0.86646355398299413</v>
      </c>
      <c r="Q129" s="176">
        <f>Q102</f>
        <v>6.9256369892056062</v>
      </c>
    </row>
    <row r="130" spans="2:17" x14ac:dyDescent="0.25">
      <c r="B130" s="170" t="s">
        <v>133</v>
      </c>
      <c r="C130" s="171">
        <v>12.16</v>
      </c>
      <c r="D130" s="172">
        <f>E130-C130</f>
        <v>20.34</v>
      </c>
      <c r="E130" s="173">
        <v>32.5</v>
      </c>
      <c r="G130" s="170" t="str">
        <f>"LTM EBITDA Purchase Multiple at "&amp;TEXT(L104,"0.0%")&amp;"-"&amp;TEXT(L100,"0.0%")&amp;" WACC at "&amp;TEXT(O99,"0.0x")&amp;" Exit EBITDA"</f>
        <v>LTM EBITDA Purchase Multiple at 18.1%-22.1% WACC at 5.4x Exit EBITDA</v>
      </c>
      <c r="H130" s="40"/>
      <c r="I130" s="40"/>
      <c r="J130" s="177"/>
      <c r="K130" s="40"/>
      <c r="L130" s="40"/>
      <c r="M130" s="40"/>
      <c r="N130" s="40"/>
      <c r="O130" s="172">
        <f>O100</f>
        <v>5.3278998576608965</v>
      </c>
      <c r="P130" s="172">
        <f>Q130-O130</f>
        <v>0.62060734204265966</v>
      </c>
      <c r="Q130" s="178">
        <f>O104</f>
        <v>5.9485071997035561</v>
      </c>
    </row>
    <row r="131" spans="2:17" x14ac:dyDescent="0.25">
      <c r="J131" s="129"/>
    </row>
    <row r="132" spans="2:17" x14ac:dyDescent="0.25">
      <c r="J132" s="129"/>
    </row>
  </sheetData>
  <conditionalFormatting sqref="E91:J95 E100:J104">
    <cfRule type="cellIs" dxfId="1" priority="2" operator="lessThan">
      <formula>#REF!</formula>
    </cfRule>
  </conditionalFormatting>
  <dataValidations count="1">
    <dataValidation type="list" allowBlank="1" showInputMessage="1" showErrorMessage="1" sqref="H9" xr:uid="{CB45C56C-AFB1-4E43-A477-1FC1C59EBD22}">
      <formula1>"0,1"</formula1>
    </dataValidation>
  </dataValidations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F4E94-4BEA-4BEC-A3D4-AE92824096F5}">
  <dimension ref="B1:I24"/>
  <sheetViews>
    <sheetView zoomScale="85" zoomScaleNormal="85" workbookViewId="0">
      <selection activeCell="C18" sqref="C18"/>
    </sheetView>
  </sheetViews>
  <sheetFormatPr defaultColWidth="9.140625" defaultRowHeight="15" x14ac:dyDescent="0.25"/>
  <cols>
    <col min="1" max="1" width="1.42578125" style="51" customWidth="1"/>
    <col min="2" max="2" width="50.28515625" style="51" customWidth="1"/>
    <col min="3" max="3" width="15.5703125" style="51" bestFit="1" customWidth="1"/>
    <col min="4" max="9" width="12.7109375" style="51" customWidth="1"/>
    <col min="10" max="10" width="1.7109375" style="51" customWidth="1"/>
    <col min="11" max="11" width="11" style="51" bestFit="1" customWidth="1"/>
    <col min="12" max="16" width="9.42578125" style="51" customWidth="1"/>
    <col min="17" max="16384" width="9.140625" style="51"/>
  </cols>
  <sheetData>
    <row r="1" spans="2:9" ht="15.75" thickBot="1" x14ac:dyDescent="0.3"/>
    <row r="2" spans="2:9" ht="15.75" thickBot="1" x14ac:dyDescent="0.3">
      <c r="B2" s="52" t="s">
        <v>134</v>
      </c>
      <c r="C2" s="53"/>
      <c r="D2" s="53"/>
      <c r="E2" s="53"/>
      <c r="F2" s="53"/>
      <c r="G2" s="53"/>
      <c r="H2" s="53"/>
      <c r="I2" s="53"/>
    </row>
    <row r="3" spans="2:9" x14ac:dyDescent="0.25">
      <c r="B3" s="54" t="str">
        <f>DCF!B3</f>
        <v>All amounts are shown in EGP, except per-share data, ratios, and shares outstanding</v>
      </c>
    </row>
    <row r="4" spans="2:9" ht="15" customHeight="1" x14ac:dyDescent="0.25">
      <c r="B4" s="139" t="s">
        <v>135</v>
      </c>
      <c r="C4" s="140"/>
      <c r="D4" s="140"/>
      <c r="E4" s="141"/>
      <c r="F4" s="142"/>
    </row>
    <row r="5" spans="2:9" x14ac:dyDescent="0.25">
      <c r="E5" s="94"/>
    </row>
    <row r="6" spans="2:9" ht="15" customHeight="1" x14ac:dyDescent="0.25">
      <c r="B6" s="51" t="s">
        <v>136</v>
      </c>
      <c r="C6" s="146">
        <f>-FSM!F233</f>
        <v>0.13850171324218832</v>
      </c>
    </row>
    <row r="7" spans="2:9" ht="15" customHeight="1" x14ac:dyDescent="0.25">
      <c r="B7" s="51" t="s">
        <v>26</v>
      </c>
      <c r="C7" s="277">
        <v>0.22500000000000001</v>
      </c>
    </row>
    <row r="8" spans="2:9" ht="15" customHeight="1" x14ac:dyDescent="0.25">
      <c r="B8" s="51" t="s">
        <v>137</v>
      </c>
      <c r="C8" s="147">
        <f>C6*(1-C7)</f>
        <v>0.10733882776269596</v>
      </c>
    </row>
    <row r="10" spans="2:9" x14ac:dyDescent="0.25">
      <c r="B10" s="51" t="s">
        <v>138</v>
      </c>
      <c r="C10" s="145">
        <v>0.19373300000000002</v>
      </c>
      <c r="D10" s="211"/>
    </row>
    <row r="11" spans="2:9" x14ac:dyDescent="0.25">
      <c r="B11" s="51" t="s">
        <v>139</v>
      </c>
      <c r="C11" s="160">
        <v>0.46</v>
      </c>
    </row>
    <row r="12" spans="2:9" ht="15" customHeight="1" x14ac:dyDescent="0.25">
      <c r="B12" s="51" t="s">
        <v>140</v>
      </c>
      <c r="C12" s="148">
        <f>13.94%-9.71%</f>
        <v>4.229999999999999E-2</v>
      </c>
      <c r="D12" s="211"/>
    </row>
    <row r="13" spans="2:9" x14ac:dyDescent="0.25">
      <c r="B13" s="51" t="s">
        <v>141</v>
      </c>
      <c r="C13" s="149">
        <f>C10+C11*C12</f>
        <v>0.21319100000000002</v>
      </c>
      <c r="D13" s="278"/>
    </row>
    <row r="14" spans="2:9" x14ac:dyDescent="0.25">
      <c r="C14" s="150"/>
    </row>
    <row r="15" spans="2:9" x14ac:dyDescent="0.25">
      <c r="B15" s="143" t="s">
        <v>142</v>
      </c>
      <c r="C15" s="151"/>
      <c r="D15" s="151"/>
      <c r="E15" s="151"/>
    </row>
    <row r="16" spans="2:9" x14ac:dyDescent="0.25">
      <c r="B16" s="72"/>
      <c r="C16" s="119"/>
      <c r="D16" s="119" t="s">
        <v>143</v>
      </c>
    </row>
    <row r="17" spans="2:5" ht="17.25" x14ac:dyDescent="0.4">
      <c r="C17" s="152" t="s">
        <v>144</v>
      </c>
      <c r="D17" s="152" t="s">
        <v>145</v>
      </c>
      <c r="E17" s="152" t="s">
        <v>146</v>
      </c>
    </row>
    <row r="18" spans="2:5" x14ac:dyDescent="0.25">
      <c r="B18" s="51" t="s">
        <v>15</v>
      </c>
      <c r="C18" s="70">
        <f>DCF!I61*DCF!H5</f>
        <v>40003808803.200005</v>
      </c>
      <c r="D18" s="153"/>
      <c r="E18" s="154">
        <f>C18/(C18+C19)</f>
        <v>0.88887746919262944</v>
      </c>
    </row>
    <row r="19" spans="2:5" x14ac:dyDescent="0.25">
      <c r="B19" s="51" t="s">
        <v>100</v>
      </c>
      <c r="C19" s="70">
        <f>DCF!C57</f>
        <v>5001054285</v>
      </c>
      <c r="D19" s="155"/>
      <c r="E19" s="154">
        <f>C19/(C19+C18)</f>
        <v>0.11112253080737058</v>
      </c>
    </row>
    <row r="21" spans="2:5" x14ac:dyDescent="0.25">
      <c r="B21" s="144" t="s">
        <v>147</v>
      </c>
      <c r="C21" s="156"/>
      <c r="D21" s="136"/>
      <c r="E21" s="157">
        <f>E18*C13+E19*C8</f>
        <v>0.20142843872953312</v>
      </c>
    </row>
    <row r="22" spans="2:5" x14ac:dyDescent="0.25">
      <c r="B22" s="71"/>
      <c r="C22" s="99"/>
    </row>
    <row r="23" spans="2:5" x14ac:dyDescent="0.25">
      <c r="B23" s="71"/>
      <c r="C23" s="99"/>
    </row>
    <row r="24" spans="2:5" x14ac:dyDescent="0.25">
      <c r="B24" s="71"/>
      <c r="C24" s="99"/>
    </row>
  </sheetData>
  <conditionalFormatting sqref="B22:C24">
    <cfRule type="expression" dxfId="0" priority="1">
      <formula>#REF!="Industry"</formula>
    </cfRule>
  </conditionalFormatting>
  <dataValidations count="1">
    <dataValidation type="list" allowBlank="1" showInputMessage="1" showErrorMessage="1" sqref="C11" xr:uid="{BA86EDE5-7159-4B66-829E-7171B4D698DF}">
      <formula1>"0.46,=(2/3*0.46)+1/3"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FSM</vt:lpstr>
      <vt:lpstr>DCF</vt:lpstr>
      <vt:lpstr>WACC</vt:lpstr>
      <vt:lpstr>FSM!Company_Name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Ahmed WAEL</dc:creator>
  <dc:description/>
  <cp:lastModifiedBy>Ahmed   WAEL</cp:lastModifiedBy>
  <cp:revision>0</cp:revision>
  <dcterms:created xsi:type="dcterms:W3CDTF">2015-06-05T18:17:20Z</dcterms:created>
  <dcterms:modified xsi:type="dcterms:W3CDTF">2026-06-16T11:07:09Z</dcterms:modified>
  <dc:language>en-US</dc:language>
</cp:coreProperties>
</file>